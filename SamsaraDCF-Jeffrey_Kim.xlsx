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cgvi\Downloads\"/>
    </mc:Choice>
  </mc:AlternateContent>
  <xr:revisionPtr revIDLastSave="0" documentId="8_{D74D8540-CFAF-4CFE-9432-30E2AAEC0C4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venue Build" sheetId="6" r:id="rId1"/>
    <sheet name="Operating Model" sheetId="7" r:id="rId2"/>
    <sheet name="WACC" sheetId="13" r:id="rId3"/>
    <sheet name="DCF" sheetId="14" r:id="rId4"/>
    <sheet name="Multiple Periods" sheetId="2" state="hidden" r:id="rId5"/>
    <sheet name="Sheet1" sheetId="10" r:id="rId6"/>
    <sheet name="Sheet3" sheetId="11" r:id="rId7"/>
    <sheet name="Sheet4" sheetId="12" r:id="rId8"/>
    <sheet name="Sheet2" sheetId="9" state="hidden" r:id="rId9"/>
    <sheet name="IS" sheetId="3" state="hidden" r:id="rId10"/>
    <sheet name="BS" sheetId="4" state="hidden" r:id="rId11"/>
    <sheet name="CFS" sheetId="5" state="hidden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14" l="1"/>
  <c r="I17" i="6"/>
  <c r="J17" i="6"/>
  <c r="K17" i="6"/>
  <c r="L17" i="6"/>
  <c r="M17" i="6"/>
  <c r="N17" i="6"/>
  <c r="H17" i="6"/>
  <c r="J12" i="6"/>
  <c r="K12" i="6"/>
  <c r="L12" i="6"/>
  <c r="M12" i="6"/>
  <c r="N12" i="6"/>
  <c r="P31" i="6"/>
  <c r="P30" i="6"/>
  <c r="P29" i="6"/>
  <c r="P28" i="6"/>
  <c r="P27" i="6"/>
  <c r="P26" i="6"/>
  <c r="J29" i="6"/>
  <c r="D19" i="14"/>
  <c r="D18" i="14"/>
  <c r="G6" i="14"/>
  <c r="H6" i="14"/>
  <c r="I6" i="14"/>
  <c r="J6" i="14"/>
  <c r="K6" i="14"/>
  <c r="F6" i="14"/>
  <c r="C18" i="13"/>
  <c r="P10" i="13"/>
  <c r="P7" i="13"/>
  <c r="P6" i="13"/>
  <c r="P11" i="13"/>
  <c r="P9" i="13"/>
  <c r="P8" i="13"/>
  <c r="P12" i="13" s="1"/>
  <c r="Q6" i="13" s="1"/>
  <c r="C9" i="13" s="1"/>
  <c r="G77" i="7"/>
  <c r="H77" i="7"/>
  <c r="I77" i="7"/>
  <c r="J77" i="7"/>
  <c r="K77" i="7"/>
  <c r="F77" i="7"/>
  <c r="G74" i="7"/>
  <c r="H74" i="7"/>
  <c r="I74" i="7"/>
  <c r="J74" i="7"/>
  <c r="K74" i="7"/>
  <c r="G75" i="7"/>
  <c r="H75" i="7"/>
  <c r="I75" i="7"/>
  <c r="J75" i="7"/>
  <c r="K75" i="7"/>
  <c r="F75" i="7"/>
  <c r="F74" i="7"/>
  <c r="G73" i="7"/>
  <c r="H73" i="7"/>
  <c r="I73" i="7"/>
  <c r="J73" i="7"/>
  <c r="K73" i="7"/>
  <c r="F73" i="7"/>
  <c r="G72" i="7"/>
  <c r="H72" i="7"/>
  <c r="I72" i="7"/>
  <c r="J72" i="7"/>
  <c r="K72" i="7"/>
  <c r="F72" i="7"/>
  <c r="G70" i="7"/>
  <c r="H70" i="7"/>
  <c r="I70" i="7"/>
  <c r="J70" i="7"/>
  <c r="K70" i="7"/>
  <c r="F70" i="7"/>
  <c r="G67" i="7"/>
  <c r="H67" i="7"/>
  <c r="L67" i="7" s="1"/>
  <c r="I67" i="7"/>
  <c r="J67" i="7"/>
  <c r="G66" i="7"/>
  <c r="H66" i="7"/>
  <c r="I66" i="7"/>
  <c r="J66" i="7"/>
  <c r="K66" i="7"/>
  <c r="K67" i="7" s="1"/>
  <c r="F66" i="7"/>
  <c r="F67" i="7" s="1"/>
  <c r="G63" i="7"/>
  <c r="H63" i="7"/>
  <c r="I63" i="7"/>
  <c r="J63" i="7"/>
  <c r="K63" i="7"/>
  <c r="F63" i="7"/>
  <c r="K57" i="7"/>
  <c r="G51" i="7"/>
  <c r="H51" i="7"/>
  <c r="I51" i="7"/>
  <c r="J51" i="7"/>
  <c r="K51" i="7"/>
  <c r="G54" i="7"/>
  <c r="H54" i="7"/>
  <c r="I54" i="7"/>
  <c r="J54" i="7"/>
  <c r="K54" i="7"/>
  <c r="F54" i="7"/>
  <c r="F51" i="7"/>
  <c r="F57" i="7" s="1"/>
  <c r="G40" i="7"/>
  <c r="H40" i="7"/>
  <c r="I40" i="7"/>
  <c r="J40" i="7"/>
  <c r="K40" i="7"/>
  <c r="F40" i="7"/>
  <c r="G46" i="7"/>
  <c r="H46" i="7"/>
  <c r="I46" i="7"/>
  <c r="K46" i="7"/>
  <c r="F46" i="7"/>
  <c r="G43" i="7"/>
  <c r="H43" i="7"/>
  <c r="I43" i="7"/>
  <c r="J43" i="7"/>
  <c r="K43" i="7"/>
  <c r="F43" i="7"/>
  <c r="G23" i="7"/>
  <c r="H23" i="7"/>
  <c r="I23" i="7"/>
  <c r="J23" i="7"/>
  <c r="K23" i="7"/>
  <c r="G20" i="7"/>
  <c r="H20" i="7"/>
  <c r="I20" i="7"/>
  <c r="J20" i="7"/>
  <c r="K20" i="7"/>
  <c r="G17" i="7"/>
  <c r="H17" i="7"/>
  <c r="I17" i="7"/>
  <c r="J17" i="7"/>
  <c r="K17" i="7"/>
  <c r="F23" i="7"/>
  <c r="F20" i="7"/>
  <c r="F17" i="7"/>
  <c r="G13" i="7"/>
  <c r="H13" i="7"/>
  <c r="I13" i="7"/>
  <c r="J13" i="7"/>
  <c r="K13" i="7"/>
  <c r="F13" i="7"/>
  <c r="C20" i="13" l="1"/>
  <c r="P13" i="13"/>
  <c r="M67" i="7"/>
  <c r="F49" i="7"/>
  <c r="F59" i="7" s="1"/>
  <c r="K49" i="7"/>
  <c r="K59" i="7" s="1"/>
  <c r="J57" i="7"/>
  <c r="J49" i="7"/>
  <c r="I57" i="7"/>
  <c r="H57" i="7"/>
  <c r="I49" i="7"/>
  <c r="I59" i="7" s="1"/>
  <c r="G57" i="7"/>
  <c r="H49" i="7"/>
  <c r="H59" i="7" s="1"/>
  <c r="F26" i="7"/>
  <c r="G49" i="7"/>
  <c r="P8" i="14" l="1"/>
  <c r="L8" i="14"/>
  <c r="O8" i="14"/>
  <c r="M8" i="14"/>
  <c r="N8" i="14"/>
  <c r="G59" i="7"/>
  <c r="G60" i="7" s="1"/>
  <c r="J59" i="7"/>
  <c r="J60" i="7" s="1"/>
  <c r="N67" i="7"/>
  <c r="I60" i="7"/>
  <c r="G33" i="7"/>
  <c r="H33" i="7"/>
  <c r="I33" i="7"/>
  <c r="J33" i="7"/>
  <c r="K33" i="7"/>
  <c r="F33" i="7"/>
  <c r="G29" i="7"/>
  <c r="H29" i="7"/>
  <c r="I29" i="7"/>
  <c r="J29" i="7"/>
  <c r="K29" i="7"/>
  <c r="F29" i="7"/>
  <c r="F31" i="7" s="1"/>
  <c r="O67" i="7" l="1"/>
  <c r="H60" i="7"/>
  <c r="K60" i="7"/>
  <c r="F36" i="7"/>
  <c r="H26" i="7"/>
  <c r="H31" i="7" s="1"/>
  <c r="H36" i="7" s="1"/>
  <c r="G8" i="7"/>
  <c r="H8" i="7"/>
  <c r="I8" i="7"/>
  <c r="J8" i="7"/>
  <c r="K8" i="7"/>
  <c r="F8" i="7"/>
  <c r="F48" i="6"/>
  <c r="E48" i="6"/>
  <c r="I47" i="6"/>
  <c r="H47" i="6"/>
  <c r="G47" i="6"/>
  <c r="G48" i="6" s="1"/>
  <c r="I46" i="6"/>
  <c r="H46" i="6"/>
  <c r="I44" i="6"/>
  <c r="H44" i="6"/>
  <c r="I41" i="6"/>
  <c r="G41" i="6"/>
  <c r="I36" i="6"/>
  <c r="H36" i="6"/>
  <c r="J33" i="6"/>
  <c r="J45" i="6" s="1"/>
  <c r="I32" i="6"/>
  <c r="H32" i="6"/>
  <c r="I30" i="6"/>
  <c r="H30" i="6"/>
  <c r="I27" i="6"/>
  <c r="H27" i="6"/>
  <c r="J26" i="6"/>
  <c r="K26" i="6" s="1"/>
  <c r="I25" i="6"/>
  <c r="H25" i="6"/>
  <c r="J24" i="6"/>
  <c r="K24" i="6" s="1"/>
  <c r="G21" i="6"/>
  <c r="J19" i="6"/>
  <c r="H19" i="6"/>
  <c r="H21" i="6" s="1"/>
  <c r="I16" i="6"/>
  <c r="J14" i="6" s="1"/>
  <c r="J16" i="6" s="1"/>
  <c r="G16" i="6"/>
  <c r="H14" i="6" s="1"/>
  <c r="H16" i="6" s="1"/>
  <c r="D11" i="6"/>
  <c r="E9" i="6" s="1"/>
  <c r="E11" i="6" s="1"/>
  <c r="S8" i="2"/>
  <c r="O9" i="2"/>
  <c r="P9" i="2"/>
  <c r="Q9" i="2"/>
  <c r="R9" i="2"/>
  <c r="S9" i="2"/>
  <c r="P8" i="2"/>
  <c r="Q8" i="2"/>
  <c r="R8" i="2"/>
  <c r="O8" i="2"/>
  <c r="I62" i="6"/>
  <c r="J92" i="6"/>
  <c r="J94" i="6" s="1"/>
  <c r="J88" i="6"/>
  <c r="K88" i="6" s="1"/>
  <c r="I100" i="6"/>
  <c r="J100" i="6" s="1"/>
  <c r="I59" i="6"/>
  <c r="J83" i="6"/>
  <c r="K83" i="6" s="1"/>
  <c r="M77" i="6"/>
  <c r="K77" i="6"/>
  <c r="L77" i="6"/>
  <c r="N77" i="6"/>
  <c r="J77" i="6"/>
  <c r="K73" i="6"/>
  <c r="L73" i="6"/>
  <c r="M73" i="6"/>
  <c r="N73" i="6"/>
  <c r="J73" i="6"/>
  <c r="E57" i="6"/>
  <c r="F57" i="6"/>
  <c r="G57" i="6"/>
  <c r="H57" i="6"/>
  <c r="I57" i="6"/>
  <c r="D57" i="6"/>
  <c r="E53" i="6"/>
  <c r="F53" i="6"/>
  <c r="G53" i="6"/>
  <c r="H53" i="6"/>
  <c r="I53" i="6"/>
  <c r="D53" i="6"/>
  <c r="J21" i="6" l="1"/>
  <c r="K19" i="6" s="1"/>
  <c r="K21" i="6" s="1"/>
  <c r="L19" i="6" s="1"/>
  <c r="L21" i="6" s="1"/>
  <c r="M19" i="6" s="1"/>
  <c r="M21" i="6" s="1"/>
  <c r="N19" i="6" s="1"/>
  <c r="N21" i="6" s="1"/>
  <c r="P67" i="7"/>
  <c r="F41" i="7"/>
  <c r="F47" i="7"/>
  <c r="F55" i="7"/>
  <c r="F64" i="7"/>
  <c r="I11" i="7"/>
  <c r="I47" i="7"/>
  <c r="I64" i="7"/>
  <c r="I55" i="7"/>
  <c r="I41" i="7"/>
  <c r="H11" i="7"/>
  <c r="H47" i="7"/>
  <c r="H64" i="7"/>
  <c r="L64" i="7" s="1"/>
  <c r="H41" i="7"/>
  <c r="H55" i="7"/>
  <c r="G11" i="7"/>
  <c r="G64" i="7"/>
  <c r="G55" i="7"/>
  <c r="G47" i="7"/>
  <c r="G41" i="7"/>
  <c r="K11" i="7"/>
  <c r="K41" i="7"/>
  <c r="K55" i="7"/>
  <c r="K64" i="7"/>
  <c r="K47" i="7"/>
  <c r="J11" i="7"/>
  <c r="J55" i="7"/>
  <c r="J41" i="7"/>
  <c r="J64" i="7"/>
  <c r="J47" i="7"/>
  <c r="K9" i="7"/>
  <c r="J9" i="7"/>
  <c r="F18" i="7"/>
  <c r="F11" i="7"/>
  <c r="G9" i="7"/>
  <c r="I9" i="7"/>
  <c r="H9" i="7"/>
  <c r="H14" i="7"/>
  <c r="G14" i="7"/>
  <c r="F14" i="7"/>
  <c r="H48" i="6"/>
  <c r="I48" i="6"/>
  <c r="E12" i="6"/>
  <c r="F9" i="6"/>
  <c r="F11" i="6" s="1"/>
  <c r="L24" i="6"/>
  <c r="K14" i="6"/>
  <c r="K16" i="6" s="1"/>
  <c r="L14" i="6" s="1"/>
  <c r="L16" i="6" s="1"/>
  <c r="M14" i="6" s="1"/>
  <c r="M16" i="6" s="1"/>
  <c r="N14" i="6" s="1"/>
  <c r="N16" i="6" s="1"/>
  <c r="J31" i="6"/>
  <c r="I22" i="6"/>
  <c r="H22" i="6"/>
  <c r="L26" i="6"/>
  <c r="K31" i="6"/>
  <c r="K33" i="6"/>
  <c r="F54" i="6"/>
  <c r="F24" i="7"/>
  <c r="I24" i="7"/>
  <c r="I18" i="7"/>
  <c r="I21" i="7"/>
  <c r="K21" i="7"/>
  <c r="K24" i="7"/>
  <c r="K18" i="7"/>
  <c r="H21" i="7"/>
  <c r="H24" i="7"/>
  <c r="G21" i="7"/>
  <c r="G18" i="7"/>
  <c r="H18" i="7"/>
  <c r="F21" i="7"/>
  <c r="G26" i="7"/>
  <c r="G31" i="7" s="1"/>
  <c r="G36" i="7" s="1"/>
  <c r="G24" i="7"/>
  <c r="G54" i="6"/>
  <c r="H56" i="6"/>
  <c r="D56" i="6"/>
  <c r="I56" i="6"/>
  <c r="J56" i="6" s="1"/>
  <c r="K56" i="6" s="1"/>
  <c r="F56" i="6"/>
  <c r="I54" i="6"/>
  <c r="E54" i="6"/>
  <c r="E56" i="6"/>
  <c r="H54" i="6"/>
  <c r="N81" i="6"/>
  <c r="G56" i="6"/>
  <c r="I65" i="6"/>
  <c r="J65" i="6" s="1"/>
  <c r="J81" i="6"/>
  <c r="K81" i="6"/>
  <c r="K90" i="6"/>
  <c r="L88" i="6"/>
  <c r="L90" i="6" s="1"/>
  <c r="M81" i="6"/>
  <c r="L81" i="6"/>
  <c r="J90" i="6"/>
  <c r="J98" i="6" s="1"/>
  <c r="K92" i="6"/>
  <c r="L92" i="6" s="1"/>
  <c r="M92" i="6" s="1"/>
  <c r="N92" i="6" s="1"/>
  <c r="N94" i="6" s="1"/>
  <c r="J99" i="6"/>
  <c r="K100" i="6"/>
  <c r="M88" i="6"/>
  <c r="K82" i="6"/>
  <c r="L83" i="6"/>
  <c r="J82" i="6"/>
  <c r="M64" i="7" l="1"/>
  <c r="L41" i="7"/>
  <c r="H44" i="7"/>
  <c r="H52" i="7"/>
  <c r="L47" i="7"/>
  <c r="G52" i="7"/>
  <c r="L52" i="7" s="1"/>
  <c r="G44" i="7"/>
  <c r="L55" i="7"/>
  <c r="K52" i="7"/>
  <c r="K44" i="7"/>
  <c r="J44" i="7"/>
  <c r="J52" i="7"/>
  <c r="F44" i="7"/>
  <c r="F52" i="7"/>
  <c r="I44" i="7"/>
  <c r="I52" i="7"/>
  <c r="K32" i="6"/>
  <c r="J32" i="6"/>
  <c r="M24" i="6"/>
  <c r="G9" i="6"/>
  <c r="G11" i="6" s="1"/>
  <c r="F12" i="6"/>
  <c r="K45" i="6"/>
  <c r="L33" i="6"/>
  <c r="M26" i="6"/>
  <c r="L31" i="6"/>
  <c r="J79" i="6"/>
  <c r="J59" i="6" s="1"/>
  <c r="J60" i="6" s="1"/>
  <c r="J21" i="7"/>
  <c r="J18" i="7"/>
  <c r="J24" i="7"/>
  <c r="K14" i="7"/>
  <c r="K26" i="7"/>
  <c r="K31" i="7" s="1"/>
  <c r="I14" i="7"/>
  <c r="I26" i="7"/>
  <c r="I31" i="7" s="1"/>
  <c r="I36" i="7" s="1"/>
  <c r="K94" i="6"/>
  <c r="K98" i="6" s="1"/>
  <c r="K79" i="6"/>
  <c r="K59" i="6" s="1"/>
  <c r="L94" i="6"/>
  <c r="L98" i="6" s="1"/>
  <c r="M94" i="6"/>
  <c r="J96" i="6"/>
  <c r="J62" i="6" s="1"/>
  <c r="J63" i="6" s="1"/>
  <c r="L56" i="6"/>
  <c r="K65" i="6"/>
  <c r="L100" i="6"/>
  <c r="K99" i="6"/>
  <c r="M90" i="6"/>
  <c r="N88" i="6"/>
  <c r="N90" i="6" s="1"/>
  <c r="N98" i="6" s="1"/>
  <c r="M83" i="6"/>
  <c r="L82" i="6"/>
  <c r="L79" i="6" s="1"/>
  <c r="L44" i="7" l="1"/>
  <c r="N64" i="7"/>
  <c r="M52" i="7"/>
  <c r="M55" i="7"/>
  <c r="M44" i="7"/>
  <c r="M47" i="7"/>
  <c r="M41" i="7"/>
  <c r="K36" i="7"/>
  <c r="K34" i="7"/>
  <c r="K27" i="7"/>
  <c r="M31" i="6"/>
  <c r="N26" i="6"/>
  <c r="N31" i="6" s="1"/>
  <c r="L32" i="6"/>
  <c r="H9" i="6"/>
  <c r="H11" i="6" s="1"/>
  <c r="G12" i="6"/>
  <c r="N24" i="6"/>
  <c r="L45" i="6"/>
  <c r="M33" i="6"/>
  <c r="J80" i="6"/>
  <c r="J14" i="7"/>
  <c r="J26" i="7"/>
  <c r="J31" i="7" s="1"/>
  <c r="M98" i="6"/>
  <c r="K96" i="6"/>
  <c r="K97" i="6" s="1"/>
  <c r="K60" i="6"/>
  <c r="K80" i="6"/>
  <c r="J97" i="6"/>
  <c r="M56" i="6"/>
  <c r="L65" i="6"/>
  <c r="J57" i="6"/>
  <c r="M100" i="6"/>
  <c r="L99" i="6"/>
  <c r="L96" i="6" s="1"/>
  <c r="L59" i="6"/>
  <c r="L60" i="6" s="1"/>
  <c r="L80" i="6"/>
  <c r="N83" i="6"/>
  <c r="N82" i="6" s="1"/>
  <c r="N79" i="6" s="1"/>
  <c r="M82" i="6"/>
  <c r="M79" i="6" s="1"/>
  <c r="O64" i="7" l="1"/>
  <c r="N47" i="7"/>
  <c r="N44" i="7"/>
  <c r="N55" i="7"/>
  <c r="N41" i="7"/>
  <c r="N52" i="7"/>
  <c r="J36" i="7"/>
  <c r="K37" i="7" s="1"/>
  <c r="J34" i="7"/>
  <c r="N32" i="6"/>
  <c r="M45" i="6"/>
  <c r="N33" i="6"/>
  <c r="H12" i="6"/>
  <c r="I9" i="6"/>
  <c r="I11" i="6" s="1"/>
  <c r="M32" i="6"/>
  <c r="K62" i="6"/>
  <c r="K63" i="6" s="1"/>
  <c r="J58" i="6"/>
  <c r="J53" i="6"/>
  <c r="J54" i="6" s="1"/>
  <c r="N56" i="6"/>
  <c r="J64" i="6"/>
  <c r="J67" i="6"/>
  <c r="M65" i="6"/>
  <c r="J61" i="6"/>
  <c r="L62" i="6"/>
  <c r="L97" i="6"/>
  <c r="N100" i="6"/>
  <c r="N99" i="6" s="1"/>
  <c r="N96" i="6" s="1"/>
  <c r="M99" i="6"/>
  <c r="M96" i="6" s="1"/>
  <c r="M59" i="6"/>
  <c r="M60" i="6" s="1"/>
  <c r="M80" i="6"/>
  <c r="N59" i="6"/>
  <c r="N80" i="6"/>
  <c r="P64" i="7" l="1"/>
  <c r="O55" i="7"/>
  <c r="O52" i="7"/>
  <c r="O44" i="7"/>
  <c r="O41" i="7"/>
  <c r="O47" i="7"/>
  <c r="K57" i="6"/>
  <c r="K61" i="6" s="1"/>
  <c r="N60" i="6"/>
  <c r="I12" i="6"/>
  <c r="J9" i="6"/>
  <c r="J11" i="6" s="1"/>
  <c r="N45" i="6"/>
  <c r="L63" i="6"/>
  <c r="N65" i="6"/>
  <c r="M62" i="6"/>
  <c r="M63" i="6" s="1"/>
  <c r="M97" i="6"/>
  <c r="N62" i="6"/>
  <c r="N63" i="6" s="1"/>
  <c r="N97" i="6"/>
  <c r="L57" i="6"/>
  <c r="P52" i="7" l="1"/>
  <c r="P47" i="7"/>
  <c r="P44" i="7"/>
  <c r="P41" i="7"/>
  <c r="P55" i="7"/>
  <c r="K58" i="6"/>
  <c r="K53" i="6"/>
  <c r="K54" i="6" s="1"/>
  <c r="K64" i="6"/>
  <c r="K67" i="6"/>
  <c r="K9" i="6"/>
  <c r="K11" i="6" s="1"/>
  <c r="J43" i="6"/>
  <c r="J47" i="6" s="1"/>
  <c r="L8" i="7" s="1"/>
  <c r="L58" i="6"/>
  <c r="L53" i="6"/>
  <c r="L54" i="6" s="1"/>
  <c r="L61" i="6"/>
  <c r="L67" i="6"/>
  <c r="L64" i="6"/>
  <c r="M57" i="6"/>
  <c r="N57" i="6"/>
  <c r="L13" i="7" l="1"/>
  <c r="L20" i="7"/>
  <c r="L9" i="7"/>
  <c r="L11" i="7"/>
  <c r="L23" i="7"/>
  <c r="L17" i="7"/>
  <c r="L63" i="7"/>
  <c r="L54" i="7"/>
  <c r="L46" i="7"/>
  <c r="L40" i="7"/>
  <c r="J35" i="6"/>
  <c r="J38" i="6" s="1"/>
  <c r="J30" i="6"/>
  <c r="L9" i="6"/>
  <c r="L11" i="6" s="1"/>
  <c r="K29" i="6"/>
  <c r="M58" i="6"/>
  <c r="M53" i="6"/>
  <c r="M54" i="6" s="1"/>
  <c r="N61" i="6"/>
  <c r="N58" i="6"/>
  <c r="N53" i="6"/>
  <c r="N54" i="6" s="1"/>
  <c r="M61" i="6"/>
  <c r="M67" i="6"/>
  <c r="N67" i="6"/>
  <c r="M64" i="6"/>
  <c r="N64" i="6"/>
  <c r="L43" i="7" l="1"/>
  <c r="L51" i="7"/>
  <c r="L57" i="7" s="1"/>
  <c r="L49" i="7"/>
  <c r="L59" i="7" s="1"/>
  <c r="L60" i="7" s="1"/>
  <c r="L74" i="7" s="1"/>
  <c r="L26" i="7"/>
  <c r="L66" i="7"/>
  <c r="L73" i="7" s="1"/>
  <c r="L75" i="7"/>
  <c r="M9" i="6"/>
  <c r="M11" i="6" s="1"/>
  <c r="L29" i="6"/>
  <c r="J44" i="6"/>
  <c r="J48" i="6"/>
  <c r="K30" i="6"/>
  <c r="K35" i="6"/>
  <c r="K38" i="6" s="1"/>
  <c r="K43" i="6"/>
  <c r="J36" i="6"/>
  <c r="J40" i="6"/>
  <c r="J39" i="6"/>
  <c r="L27" i="7" l="1"/>
  <c r="L70" i="7"/>
  <c r="L31" i="7"/>
  <c r="L33" i="7" s="1"/>
  <c r="L36" i="7" s="1"/>
  <c r="L37" i="7" s="1"/>
  <c r="J41" i="6"/>
  <c r="N9" i="6"/>
  <c r="N11" i="6" s="1"/>
  <c r="N29" i="6" s="1"/>
  <c r="N43" i="6" s="1"/>
  <c r="N47" i="6" s="1"/>
  <c r="P8" i="7" s="1"/>
  <c r="M29" i="6"/>
  <c r="K44" i="6"/>
  <c r="K47" i="6"/>
  <c r="K36" i="6"/>
  <c r="K39" i="6"/>
  <c r="K40" i="6"/>
  <c r="L43" i="6"/>
  <c r="L35" i="6"/>
  <c r="L38" i="6" s="1"/>
  <c r="L30" i="6"/>
  <c r="L72" i="7" l="1"/>
  <c r="L77" i="7" s="1"/>
  <c r="L6" i="14" s="1"/>
  <c r="L9" i="14" s="1"/>
  <c r="K48" i="6"/>
  <c r="M8" i="7"/>
  <c r="P13" i="7"/>
  <c r="D14" i="14"/>
  <c r="D16" i="14" s="1"/>
  <c r="P17" i="7"/>
  <c r="P23" i="7"/>
  <c r="P20" i="7"/>
  <c r="P63" i="7"/>
  <c r="P40" i="7"/>
  <c r="P46" i="7"/>
  <c r="P54" i="7"/>
  <c r="K41" i="6"/>
  <c r="L44" i="6"/>
  <c r="L47" i="6"/>
  <c r="M30" i="6"/>
  <c r="M43" i="6"/>
  <c r="M35" i="6"/>
  <c r="L36" i="6"/>
  <c r="L39" i="6"/>
  <c r="L40" i="6"/>
  <c r="N35" i="6"/>
  <c r="N38" i="6" s="1"/>
  <c r="N30" i="6"/>
  <c r="L48" i="6" l="1"/>
  <c r="N8" i="7"/>
  <c r="P26" i="7"/>
  <c r="P66" i="7"/>
  <c r="P73" i="7" s="1"/>
  <c r="P75" i="7"/>
  <c r="M23" i="7"/>
  <c r="M20" i="7"/>
  <c r="M9" i="7"/>
  <c r="M13" i="7"/>
  <c r="M17" i="7"/>
  <c r="M11" i="7"/>
  <c r="M63" i="7"/>
  <c r="M40" i="7"/>
  <c r="M54" i="7"/>
  <c r="M46" i="7"/>
  <c r="P11" i="7"/>
  <c r="L41" i="6"/>
  <c r="N44" i="6"/>
  <c r="N36" i="6"/>
  <c r="N39" i="6"/>
  <c r="N40" i="6"/>
  <c r="M36" i="6"/>
  <c r="M40" i="6"/>
  <c r="M39" i="6"/>
  <c r="M38" i="6"/>
  <c r="M44" i="6"/>
  <c r="M47" i="6"/>
  <c r="M66" i="7" l="1"/>
  <c r="M73" i="7" s="1"/>
  <c r="M75" i="7"/>
  <c r="M43" i="7"/>
  <c r="M49" i="7" s="1"/>
  <c r="M51" i="7"/>
  <c r="M57" i="7" s="1"/>
  <c r="P70" i="7"/>
  <c r="P27" i="7"/>
  <c r="P31" i="7"/>
  <c r="P33" i="7" s="1"/>
  <c r="P36" i="7" s="1"/>
  <c r="M26" i="7"/>
  <c r="M48" i="6"/>
  <c r="O8" i="7"/>
  <c r="P51" i="7"/>
  <c r="P57" i="7" s="1"/>
  <c r="P43" i="7"/>
  <c r="P49" i="7" s="1"/>
  <c r="N13" i="7"/>
  <c r="N20" i="7"/>
  <c r="N9" i="7"/>
  <c r="N17" i="7"/>
  <c r="N23" i="7"/>
  <c r="N63" i="7"/>
  <c r="N54" i="7"/>
  <c r="N46" i="7"/>
  <c r="N40" i="7"/>
  <c r="M41" i="6"/>
  <c r="N41" i="6"/>
  <c r="N48" i="6"/>
  <c r="P72" i="7" l="1"/>
  <c r="M59" i="7"/>
  <c r="M60" i="7" s="1"/>
  <c r="M74" i="7" s="1"/>
  <c r="N26" i="7"/>
  <c r="N70" i="7" s="1"/>
  <c r="P59" i="7"/>
  <c r="N11" i="7"/>
  <c r="M70" i="7"/>
  <c r="M31" i="7"/>
  <c r="M33" i="7" s="1"/>
  <c r="M36" i="7" s="1"/>
  <c r="M37" i="7" s="1"/>
  <c r="M27" i="7"/>
  <c r="N66" i="7"/>
  <c r="N73" i="7" s="1"/>
  <c r="N75" i="7"/>
  <c r="O23" i="7"/>
  <c r="O9" i="7"/>
  <c r="O20" i="7"/>
  <c r="O17" i="7"/>
  <c r="O13" i="7"/>
  <c r="O63" i="7"/>
  <c r="O40" i="7"/>
  <c r="O54" i="7"/>
  <c r="O46" i="7"/>
  <c r="P9" i="7"/>
  <c r="N27" i="7" l="1"/>
  <c r="N31" i="7"/>
  <c r="N33" i="7" s="1"/>
  <c r="N36" i="7" s="1"/>
  <c r="N37" i="7" s="1"/>
  <c r="O11" i="7"/>
  <c r="O26" i="7"/>
  <c r="M72" i="7"/>
  <c r="M77" i="7" s="1"/>
  <c r="M6" i="14" s="1"/>
  <c r="M9" i="14" s="1"/>
  <c r="O66" i="7"/>
  <c r="O73" i="7" s="1"/>
  <c r="O75" i="7"/>
  <c r="N51" i="7"/>
  <c r="N57" i="7" s="1"/>
  <c r="N43" i="7"/>
  <c r="N49" i="7" s="1"/>
  <c r="N59" i="7" s="1"/>
  <c r="N60" i="7" s="1"/>
  <c r="N74" i="7" s="1"/>
  <c r="N72" i="7" l="1"/>
  <c r="N77" i="7" s="1"/>
  <c r="N6" i="14" s="1"/>
  <c r="N9" i="14" s="1"/>
  <c r="O70" i="7"/>
  <c r="O31" i="7"/>
  <c r="O33" i="7" s="1"/>
  <c r="O36" i="7" s="1"/>
  <c r="O27" i="7"/>
  <c r="O51" i="7"/>
  <c r="O57" i="7" s="1"/>
  <c r="O43" i="7"/>
  <c r="O49" i="7" s="1"/>
  <c r="O72" i="7" l="1"/>
  <c r="O59" i="7"/>
  <c r="O60" i="7"/>
  <c r="O74" i="7" s="1"/>
  <c r="P60" i="7"/>
  <c r="P74" i="7" s="1"/>
  <c r="P77" i="7" s="1"/>
  <c r="P6" i="14" s="1"/>
  <c r="P9" i="14" s="1"/>
  <c r="O37" i="7"/>
  <c r="P37" i="7"/>
  <c r="O77" i="7"/>
  <c r="O6" i="14" s="1"/>
  <c r="O9" i="14" s="1"/>
  <c r="D17" i="14" l="1"/>
  <c r="D20" i="14" s="1"/>
  <c r="D22" i="14" s="1"/>
  <c r="D24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Trading Floor User</author>
  </authors>
  <commentList>
    <comment ref="J10" authorId="0" shapeId="0" xr:uid="{9728D206-8145-4B9C-BB94-E6649616D26A}">
      <text>
        <r>
          <rPr>
            <b/>
            <sz val="9"/>
            <color indexed="81"/>
            <rFont val="Tahoma"/>
            <family val="2"/>
          </rPr>
          <t>Trading Floor User:</t>
        </r>
        <r>
          <rPr>
            <sz val="9"/>
            <color indexed="81"/>
            <rFont val="Tahoma"/>
            <family val="2"/>
          </rPr>
          <t xml:space="preserve">
Street (Tegus Concensus Model) forecasts around 420 adds, which we believe is a severe underestimate and does not account for 1) heightened s&amp;m 2) product-driven sales</t>
        </r>
      </text>
    </comment>
  </commentList>
</comments>
</file>

<file path=xl/sharedStrings.xml><?xml version="1.0" encoding="utf-8"?>
<sst xmlns="http://schemas.openxmlformats.org/spreadsheetml/2006/main" count="2452" uniqueCount="1124">
  <si>
    <t>Samsara Inc- Company Financial (Multiple Periods)</t>
  </si>
  <si>
    <t>IOT US Equity    Periodicity:A    Currency:USD    Estimate Source:BST    Actual Source:Bloomberg</t>
  </si>
  <si>
    <t>In Millions of USD</t>
  </si>
  <si>
    <t>12 Months Ending</t>
  </si>
  <si>
    <t>Field Expression</t>
  </si>
  <si>
    <t>Calcrt Field</t>
  </si>
  <si>
    <t>Segment Id</t>
  </si>
  <si>
    <t xml:space="preserve">  Highlights</t>
  </si>
  <si>
    <t xml:space="preserve">  Adjusted Diluted EPS</t>
  </si>
  <si>
    <t>IS_COMP_EPS_ADJUSTED_OLD</t>
  </si>
  <si>
    <t>IS900</t>
  </si>
  <si>
    <t xml:space="preserve">  Revenue</t>
  </si>
  <si>
    <t>IS_COMP_SALES</t>
  </si>
  <si>
    <t>IS902</t>
  </si>
  <si>
    <t xml:space="preserve">  </t>
  </si>
  <si>
    <t xml:space="preserve">  Annualized Recurring Revenue</t>
  </si>
  <si>
    <t>IS_ANNUALIZED_RECURRING_REV</t>
  </si>
  <si>
    <t>IM696</t>
  </si>
  <si>
    <t xml:space="preserve">  Adjusted Gross Margin (%)</t>
  </si>
  <si>
    <t>IS_COMP_GROSS_MARGIN_PERCENTAGE</t>
  </si>
  <si>
    <t>IM092</t>
  </si>
  <si>
    <t xml:space="preserve">  Adjusted Operating Income</t>
  </si>
  <si>
    <t>IS_COMPARABLE_EBIT</t>
  </si>
  <si>
    <t>IM132</t>
  </si>
  <si>
    <t xml:space="preserve">    Operating Margin (%)</t>
  </si>
  <si>
    <t>ADJ_OPERATING_MARGIN</t>
  </si>
  <si>
    <t>RX609</t>
  </si>
  <si>
    <t xml:space="preserve">  Company Operating Metrics</t>
  </si>
  <si>
    <t xml:space="preserve">  Company-Level Industry Statistics</t>
  </si>
  <si>
    <t xml:space="preserve">  Annualized Recurring Revenue (ARR)</t>
  </si>
  <si>
    <t xml:space="preserve">    $100k+ in ARR</t>
  </si>
  <si>
    <t>SEG0000857764 Segment</t>
  </si>
  <si>
    <t xml:space="preserve">      Percent of ARR</t>
  </si>
  <si>
    <t>CB_IS_RECUR_REV</t>
  </si>
  <si>
    <t>IC934</t>
  </si>
  <si>
    <t xml:space="preserve">      Existing $100k+ in ARR</t>
  </si>
  <si>
    <t>SEG2122315175 Segment</t>
  </si>
  <si>
    <t xml:space="preserve">      New $100K+ ARR</t>
  </si>
  <si>
    <t>SEG7233412516 Segment</t>
  </si>
  <si>
    <t xml:space="preserve">    ARR from &lt;$100k</t>
  </si>
  <si>
    <t>SEG1439748622 Segment</t>
  </si>
  <si>
    <t xml:space="preserve">      Existing &lt;$100K ARR</t>
  </si>
  <si>
    <t>SEG9217553926 Segment</t>
  </si>
  <si>
    <t xml:space="preserve">      New &lt;$100K ARR</t>
  </si>
  <si>
    <t>SEG4106456585 Segment</t>
  </si>
  <si>
    <t xml:space="preserve">    Net New ARR</t>
  </si>
  <si>
    <t>IS_NET_RECURRING_REV_ADDTN</t>
  </si>
  <si>
    <t>IL313</t>
  </si>
  <si>
    <t xml:space="preserve">      New</t>
  </si>
  <si>
    <t>SEG5581076398 Segment</t>
  </si>
  <si>
    <t xml:space="preserve">      Existing</t>
  </si>
  <si>
    <t>SEG9469979050 Segment</t>
  </si>
  <si>
    <t xml:space="preserve">    Core</t>
  </si>
  <si>
    <t>IM969</t>
  </si>
  <si>
    <t>SEG3789147034 Segment</t>
  </si>
  <si>
    <t>SEG5469359577 Segment</t>
  </si>
  <si>
    <t xml:space="preserve">    Existing</t>
  </si>
  <si>
    <t xml:space="preserve">      $100k+ in ARR</t>
  </si>
  <si>
    <t xml:space="preserve">    New</t>
  </si>
  <si>
    <t xml:space="preserve">      $100K+ ARR</t>
  </si>
  <si>
    <t xml:space="preserve">  Annualized Recurring Revenue Per User</t>
  </si>
  <si>
    <t>CB_IS_ANN_RECUR_REV_PER_USER</t>
  </si>
  <si>
    <t>IC983</t>
  </si>
  <si>
    <t xml:space="preserve">  Net Retention Rate</t>
  </si>
  <si>
    <t>CORE_CLIENT_RETENTION_RATE</t>
  </si>
  <si>
    <t>M4278</t>
  </si>
  <si>
    <t xml:space="preserve">  Net Revenue Retention Rate Percentage</t>
  </si>
  <si>
    <t>NET_REV_RETENTION_RATE_PCT</t>
  </si>
  <si>
    <t>M1269</t>
  </si>
  <si>
    <t xml:space="preserve">  Number of Customers</t>
  </si>
  <si>
    <t xml:space="preserve">    $1M+ in ARR</t>
  </si>
  <si>
    <t>NUMBER_OF_CUSTOMERS</t>
  </si>
  <si>
    <t>M6307</t>
  </si>
  <si>
    <t>SEG0000857765 Segment</t>
  </si>
  <si>
    <t xml:space="preserve">      Net Adds</t>
  </si>
  <si>
    <t>CB_NET_PAID_SUBSCRIBER_ADDTNS</t>
  </si>
  <si>
    <t>M6920</t>
  </si>
  <si>
    <t xml:space="preserve">    $10K-100K in ARR</t>
  </si>
  <si>
    <t>SEG5775215220 Segment</t>
  </si>
  <si>
    <t xml:space="preserve">    $5k-$10k in ARR</t>
  </si>
  <si>
    <t>SEG1135819755 Segment</t>
  </si>
  <si>
    <t xml:space="preserve">      $5k-$10k in ARR</t>
  </si>
  <si>
    <t xml:space="preserve">    &lt;$5k in ARR</t>
  </si>
  <si>
    <t>SEG2220347974 Segment</t>
  </si>
  <si>
    <t xml:space="preserve">  Percentage of ARR Core Customers</t>
  </si>
  <si>
    <t xml:space="preserve">    &lt;$10K in ARR</t>
  </si>
  <si>
    <t>SEG9664117872 Segment</t>
  </si>
  <si>
    <t xml:space="preserve">  Billings</t>
  </si>
  <si>
    <t>SOFTWARE_BILLINGS_RATIO</t>
  </si>
  <si>
    <t>F1118</t>
  </si>
  <si>
    <t xml:space="preserve">  Deferred Revenue</t>
  </si>
  <si>
    <t>DEFERRED_REV</t>
  </si>
  <si>
    <t>FS167</t>
  </si>
  <si>
    <t xml:space="preserve">  Change in Deferred Revenue</t>
  </si>
  <si>
    <t>CF_CHG_IN_DEFER_UNEARND_REV_ST</t>
  </si>
  <si>
    <t>CF434</t>
  </si>
  <si>
    <t xml:space="preserve">  Remaining Performance Obligation</t>
  </si>
  <si>
    <t>BS_REMAINING_PERFORMANCE_OBLIG</t>
  </si>
  <si>
    <t>BL016</t>
  </si>
  <si>
    <t xml:space="preserve">  Current Remaining Performance Obligation</t>
  </si>
  <si>
    <t>CB_BS_REMAIN_PERFORM_OBLIG_DUE_IN_1_YR</t>
  </si>
  <si>
    <t>BL700</t>
  </si>
  <si>
    <t xml:space="preserve">  Noncurrent Remaining Performance Obligation</t>
  </si>
  <si>
    <t>CB_BS_REMAINI_PERFORM_OBLIG_DUE_BEYOND_1_YR</t>
  </si>
  <si>
    <t>BL701</t>
  </si>
  <si>
    <t xml:space="preserve">  Selling, General &amp; Administrative Expense</t>
  </si>
  <si>
    <t>IS_SG_AND_A_EXPENSE</t>
  </si>
  <si>
    <t>IM122</t>
  </si>
  <si>
    <t xml:space="preserve">  Days Sales Outstanding</t>
  </si>
  <si>
    <t>ANNUALIZED_DAYS_SALES_OUTSTDG</t>
  </si>
  <si>
    <t>F0837</t>
  </si>
  <si>
    <t xml:space="preserve">  Inventory Turnover</t>
  </si>
  <si>
    <t>CB_INVENTORY_TURNOVER_DAY</t>
  </si>
  <si>
    <t>M6124</t>
  </si>
  <si>
    <t xml:space="preserve">  Current Ratio</t>
  </si>
  <si>
    <t>CUR_RATIO</t>
  </si>
  <si>
    <t>RR053</t>
  </si>
  <si>
    <t xml:space="preserve">  Days Inventory Outstanding</t>
  </si>
  <si>
    <t>ANNUALIZED_DAYS_INV_OUTSTDG</t>
  </si>
  <si>
    <t>F0838</t>
  </si>
  <si>
    <t xml:space="preserve">  Days Payable Outstanding</t>
  </si>
  <si>
    <t>ACCOUNTS_PAYABLE_TURNOVER_DAYS</t>
  </si>
  <si>
    <t>RR774</t>
  </si>
  <si>
    <t xml:space="preserve">  Business Breakdown</t>
  </si>
  <si>
    <t xml:space="preserve">    Subscription</t>
  </si>
  <si>
    <t>SALES_REV_TURN</t>
  </si>
  <si>
    <t>IS010</t>
  </si>
  <si>
    <t>SEG0000586646 Segment</t>
  </si>
  <si>
    <t xml:space="preserve">    Other Product</t>
  </si>
  <si>
    <t>SEG0000586647 Segment</t>
  </si>
  <si>
    <t xml:space="preserve">  Product Breakdown</t>
  </si>
  <si>
    <t xml:space="preserve">    Telematics</t>
  </si>
  <si>
    <t>SEG2136810916 Segment</t>
  </si>
  <si>
    <t xml:space="preserve">      Percent of Recurring Revenue</t>
  </si>
  <si>
    <t xml:space="preserve">    Video-based Safety</t>
  </si>
  <si>
    <t>SEG6025713568 Segment</t>
  </si>
  <si>
    <t xml:space="preserve">    All Other</t>
  </si>
  <si>
    <t>SEG9914616220 Segment</t>
  </si>
  <si>
    <t xml:space="preserve">  Net Recurring Revenue - Addition</t>
  </si>
  <si>
    <t xml:space="preserve">  Regional Breakdown</t>
  </si>
  <si>
    <t xml:space="preserve">    United States</t>
  </si>
  <si>
    <t>SEG0000586640 Segment</t>
  </si>
  <si>
    <t xml:space="preserve">    Other Countries</t>
  </si>
  <si>
    <t>SEG0000586642 Segment</t>
  </si>
  <si>
    <t xml:space="preserve">  Income Statement (Adjusted)</t>
  </si>
  <si>
    <t xml:space="preserve">  Cost of Revenue</t>
  </si>
  <si>
    <t>IS_ADJUSTED_COGS_AS_REPORTED</t>
  </si>
  <si>
    <t>IM057</t>
  </si>
  <si>
    <t xml:space="preserve">  Gross Profit</t>
  </si>
  <si>
    <t>IS_ADJ_GROSS_PROFIT_AS_REPORTED</t>
  </si>
  <si>
    <t>IS923</t>
  </si>
  <si>
    <t xml:space="preserve">      Gross Margin (%)</t>
  </si>
  <si>
    <t xml:space="preserve">  Total Operating Expenses</t>
  </si>
  <si>
    <t>CB_IS_ADJUSTED_OPEX</t>
  </si>
  <si>
    <t>IM744</t>
  </si>
  <si>
    <t xml:space="preserve">    Research &amp; Development Expense</t>
  </si>
  <si>
    <t>IS_ADJ_R_AND_D_AS_REPORTED</t>
  </si>
  <si>
    <t>IS925</t>
  </si>
  <si>
    <t xml:space="preserve">    Selling, &amp; Marketing Expense</t>
  </si>
  <si>
    <t>IS_ADJ_SELLING_AND_MRKTG_EXPN_AR</t>
  </si>
  <si>
    <t>IM059</t>
  </si>
  <si>
    <t xml:space="preserve">    General &amp; Administrative</t>
  </si>
  <si>
    <t>IS_ADJ_GENL_AND_ADMIN_EXPN_AR</t>
  </si>
  <si>
    <t>IM060</t>
  </si>
  <si>
    <t xml:space="preserve">    Depreciation Expense</t>
  </si>
  <si>
    <t>HEADLINE_DEPR_EXPN</t>
  </si>
  <si>
    <t>F1702</t>
  </si>
  <si>
    <t xml:space="preserve">  Operating Income</t>
  </si>
  <si>
    <t xml:space="preserve">  EBITDA</t>
  </si>
  <si>
    <t>IS_COMPARABLE_EBITDA</t>
  </si>
  <si>
    <t>IM131</t>
  </si>
  <si>
    <t xml:space="preserve">  Non-Operating Income</t>
  </si>
  <si>
    <t>IS_NET_NON_OPER_LOSS</t>
  </si>
  <si>
    <t>IS037</t>
  </si>
  <si>
    <t xml:space="preserve">  Pre-Tax Income</t>
  </si>
  <si>
    <t>IS_ADJ_PRETAX_INCOME_AS_REPORTED</t>
  </si>
  <si>
    <t>IS924</t>
  </si>
  <si>
    <t xml:space="preserve">    As % of Revenue</t>
  </si>
  <si>
    <t>CB_IS_INCOME_TAX_EXP</t>
  </si>
  <si>
    <t>IL455</t>
  </si>
  <si>
    <t xml:space="preserve">  Income Tax Expense</t>
  </si>
  <si>
    <t>IS_INC_TAX_EXP</t>
  </si>
  <si>
    <t>IS038</t>
  </si>
  <si>
    <t xml:space="preserve">  Income from Continue Operations</t>
  </si>
  <si>
    <t>IS_INC_BEF_XO_ITEM</t>
  </si>
  <si>
    <t>IS040</t>
  </si>
  <si>
    <t xml:space="preserve">  Net Income Available to Common</t>
  </si>
  <si>
    <t>IS_COMP_NET_INCOME_ADJUST_OLD</t>
  </si>
  <si>
    <t>IS903</t>
  </si>
  <si>
    <t xml:space="preserve">  Basic Weighted Avg. Shares</t>
  </si>
  <si>
    <t>IS_AVG_NUM_SH_FOR_EPS</t>
  </si>
  <si>
    <t>IS060</t>
  </si>
  <si>
    <t xml:space="preserve">  Diluted Weighted Avg. Shares</t>
  </si>
  <si>
    <t>IS_SH_FOR_DILUTED_EPS</t>
  </si>
  <si>
    <t>IS062</t>
  </si>
  <si>
    <t xml:space="preserve">  Diluted EPS</t>
  </si>
  <si>
    <t xml:space="preserve">  GAAP Results</t>
  </si>
  <si>
    <t xml:space="preserve">    Cost of Revenue</t>
  </si>
  <si>
    <t>IS_COG_AND_SS_GAAP</t>
  </si>
  <si>
    <t>IM424</t>
  </si>
  <si>
    <t xml:space="preserve">    Gross Profit</t>
  </si>
  <si>
    <t>CB_IS_GROSS_PROFIT</t>
  </si>
  <si>
    <t>IC399</t>
  </si>
  <si>
    <t>GROSS_MARGIN</t>
  </si>
  <si>
    <t>RR057</t>
  </si>
  <si>
    <t xml:space="preserve">    Operating Expenses</t>
  </si>
  <si>
    <t>IS_OPERATING_EXPN</t>
  </si>
  <si>
    <t>IS032</t>
  </si>
  <si>
    <t xml:space="preserve">      Research &amp; Development Expense</t>
  </si>
  <si>
    <t>IS_OPEX_R_AND_D_GAAP</t>
  </si>
  <si>
    <t>IM441</t>
  </si>
  <si>
    <t xml:space="preserve">      Selling &amp; Marketing Expense</t>
  </si>
  <si>
    <t>IS_SELLING_EXPENSES</t>
  </si>
  <si>
    <t>IM326</t>
  </si>
  <si>
    <t xml:space="preserve">      General &amp; Aministrative Expense</t>
  </si>
  <si>
    <t>IS_GENERAL_AND_ADMIN_GAAP</t>
  </si>
  <si>
    <t>IM431</t>
  </si>
  <si>
    <t xml:space="preserve">    Operating Income</t>
  </si>
  <si>
    <t>IS_EBIT_AS_REPORTED</t>
  </si>
  <si>
    <t>IM013</t>
  </si>
  <si>
    <t xml:space="preserve">      Operating Margin (%)</t>
  </si>
  <si>
    <t>OPER_MARGIN</t>
  </si>
  <si>
    <t>RR026</t>
  </si>
  <si>
    <t xml:space="preserve">    Pre-Tax Income</t>
  </si>
  <si>
    <t>IS_COMP_PTP_EX_STK_BASED_COMP</t>
  </si>
  <si>
    <t>IM383</t>
  </si>
  <si>
    <t xml:space="preserve">    Net Income</t>
  </si>
  <si>
    <t>IS_COMP_NET_INCOME_GAAP</t>
  </si>
  <si>
    <t>IS904</t>
  </si>
  <si>
    <t xml:space="preserve">      Net Income Margin (%)</t>
  </si>
  <si>
    <t>ADJ_PROFIT_MARGIN</t>
  </si>
  <si>
    <t>RX611</t>
  </si>
  <si>
    <t xml:space="preserve">    Diluted EPS</t>
  </si>
  <si>
    <t>IS_COMP_EPS_GAAP</t>
  </si>
  <si>
    <t>IS901</t>
  </si>
  <si>
    <t xml:space="preserve">  Company-Specific Adjustments</t>
  </si>
  <si>
    <t xml:space="preserve">    Stock-Based Compensation</t>
  </si>
  <si>
    <t>CB_IS_SBC_AFTER_TAX_NONGAAP_RECON</t>
  </si>
  <si>
    <t>IL534</t>
  </si>
  <si>
    <t xml:space="preserve">      As % of Revenue</t>
  </si>
  <si>
    <t>SBC_NON_GAAP_TO_SALES</t>
  </si>
  <si>
    <t>RX614</t>
  </si>
  <si>
    <t xml:space="preserve">      Cost of Goods Sold</t>
  </si>
  <si>
    <t>IS_SBC_ATTRIB_TO_COGS_PRETX</t>
  </si>
  <si>
    <t>IM496</t>
  </si>
  <si>
    <t xml:space="preserve">      Research &amp; Development</t>
  </si>
  <si>
    <t>IS_SBC_ATTRIBUTABLE_TO_R_AND_D_PRETX</t>
  </si>
  <si>
    <t>IM494</t>
  </si>
  <si>
    <t xml:space="preserve">      Selling &amp; Marketing</t>
  </si>
  <si>
    <t>IS_SBC_ATT_TO_S_AND_M_PRETX</t>
  </si>
  <si>
    <t>IM498</t>
  </si>
  <si>
    <t xml:space="preserve">      General &amp; Administrative</t>
  </si>
  <si>
    <t>IS_SBC_ATT_TO_GENL_AND_ADMIN_PRETX</t>
  </si>
  <si>
    <t>IM497</t>
  </si>
  <si>
    <t xml:space="preserve">    Pretax Income Adjustment</t>
  </si>
  <si>
    <t xml:space="preserve">       Other Abnormal Items</t>
  </si>
  <si>
    <t>CB_IS_OTHER_ABNORMAL_ITEMS_PRETAX_NONGAAP_RECON</t>
  </si>
  <si>
    <t>IM572</t>
  </si>
  <si>
    <t xml:space="preserve">  Condensed Balance Sheet</t>
  </si>
  <si>
    <t xml:space="preserve">  Assets</t>
  </si>
  <si>
    <t xml:space="preserve">    Current Assets</t>
  </si>
  <si>
    <t>CB_BS_CURR_ASSETS</t>
  </si>
  <si>
    <t>BL331</t>
  </si>
  <si>
    <t xml:space="preserve">      Cash &amp; Cash Equivalents</t>
  </si>
  <si>
    <t>CB_BS_CASH</t>
  </si>
  <si>
    <t>BM529</t>
  </si>
  <si>
    <t xml:space="preserve">      Short-Term Investments</t>
  </si>
  <si>
    <t>CB_BS_ST_INVESTMENT</t>
  </si>
  <si>
    <t>BM882</t>
  </si>
  <si>
    <t xml:space="preserve">      Accounts Receivable</t>
  </si>
  <si>
    <t>CB_BS_ACCOUNTS_RECEIVABLE</t>
  </si>
  <si>
    <t>BL309</t>
  </si>
  <si>
    <t xml:space="preserve">      Inventories</t>
  </si>
  <si>
    <t>CB_BS_INVENTORIES</t>
  </si>
  <si>
    <t>BM867</t>
  </si>
  <si>
    <t xml:space="preserve">      Contract Assets</t>
  </si>
  <si>
    <t>BS_CONTRACT_ASSETS_SHORT_TERM</t>
  </si>
  <si>
    <t>BM795</t>
  </si>
  <si>
    <t xml:space="preserve">      Pre-Paid Expenses &amp; Other</t>
  </si>
  <si>
    <t>PREPAID_EXPNSS_AND_OTHR</t>
  </si>
  <si>
    <t>BL249</t>
  </si>
  <si>
    <t xml:space="preserve">    Non-Current Assets</t>
  </si>
  <si>
    <t>BS_TOTAL_NON_CURRENT_ASSETS</t>
  </si>
  <si>
    <t>BM321</t>
  </si>
  <si>
    <t xml:space="preserve">      Property, Plant &amp; Equipment, Net</t>
  </si>
  <si>
    <t>CB_BS_PP_AND_E_NET</t>
  </si>
  <si>
    <t>BM788</t>
  </si>
  <si>
    <t xml:space="preserve">      Operating Lease Assets</t>
  </si>
  <si>
    <t>BS_OPER_LEA_RT_OF_USE_ASSETS</t>
  </si>
  <si>
    <t>BM659</t>
  </si>
  <si>
    <t xml:space="preserve">      Deferred Costs</t>
  </si>
  <si>
    <t>CB_BS_DEFERRED_COST_LT</t>
  </si>
  <si>
    <t>BL361</t>
  </si>
  <si>
    <t xml:space="preserve">      Long-Term Restricted Cash</t>
  </si>
  <si>
    <t>BS_LONG_TERM_RESTRCTD_CASH_INVT</t>
  </si>
  <si>
    <t>BL295</t>
  </si>
  <si>
    <t>BS_CONTRACT_ASSETS_LONG_TERM</t>
  </si>
  <si>
    <t>BM796</t>
  </si>
  <si>
    <t xml:space="preserve">      Other</t>
  </si>
  <si>
    <t>CB_BS_OTHER_NONCURRENT_ASSETS</t>
  </si>
  <si>
    <t>BM784</t>
  </si>
  <si>
    <t xml:space="preserve">    Total Assets</t>
  </si>
  <si>
    <t>BS_TOT_ASSET</t>
  </si>
  <si>
    <t>BS035</t>
  </si>
  <si>
    <t xml:space="preserve">  Liabilities &amp; Equity</t>
  </si>
  <si>
    <t xml:space="preserve">    Current Liabilities</t>
  </si>
  <si>
    <t>CB_BS_CURR_LIABILITIES</t>
  </si>
  <si>
    <t>BL332</t>
  </si>
  <si>
    <t xml:space="preserve">      Accounts Payable</t>
  </si>
  <si>
    <t>BS_ACCT_PAYABLE</t>
  </si>
  <si>
    <t>BS036</t>
  </si>
  <si>
    <t xml:space="preserve">      Accrued Compensation</t>
  </si>
  <si>
    <t>BS_ST_ACC_CMPNSTN_POSTRET_OBLIG</t>
  </si>
  <si>
    <t>BL253</t>
  </si>
  <si>
    <t xml:space="preserve">      Operating Lease Liabilities</t>
  </si>
  <si>
    <t>BS_ST_OPERATING_LEASE_LIABS</t>
  </si>
  <si>
    <t>BM660</t>
  </si>
  <si>
    <t xml:space="preserve">      Short-Term Deferred Revenue</t>
  </si>
  <si>
    <t>CB_BS_ST_DEFER_REVENUE</t>
  </si>
  <si>
    <t>BL256</t>
  </si>
  <si>
    <t xml:space="preserve">      Accrued Expenses &amp; Other</t>
  </si>
  <si>
    <t>BS_ACCRUD_EXPNSS_AND_OTHR</t>
  </si>
  <si>
    <t>BL255</t>
  </si>
  <si>
    <t xml:space="preserve">    Non-Current Liabilities</t>
  </si>
  <si>
    <t>BS_ADJ_TOTAL_LT_LIABILITIES</t>
  </si>
  <si>
    <t>BS814</t>
  </si>
  <si>
    <t>BS_LT_OPERATING_LEASE_LIABS</t>
  </si>
  <si>
    <t>BM661</t>
  </si>
  <si>
    <t xml:space="preserve">      Deferred Revenue</t>
  </si>
  <si>
    <t>CB_BS_LT_DEFERRED_REVENUE</t>
  </si>
  <si>
    <t>BL435</t>
  </si>
  <si>
    <t>BS_OTHER_NONCURRENT_LIABILITIES</t>
  </si>
  <si>
    <t>BM287</t>
  </si>
  <si>
    <t xml:space="preserve">    Total Liabilities</t>
  </si>
  <si>
    <t>BS_TOTAL_LIABILITIES</t>
  </si>
  <si>
    <t>BS729</t>
  </si>
  <si>
    <t xml:space="preserve">    Total Shareholders' Equity</t>
  </si>
  <si>
    <t>BS_TOT_EQY</t>
  </si>
  <si>
    <t>BS095</t>
  </si>
  <si>
    <t xml:space="preserve">      Common Stock</t>
  </si>
  <si>
    <t>CB_BS_SHARE_CAPITAL</t>
  </si>
  <si>
    <t>BL609</t>
  </si>
  <si>
    <t xml:space="preserve">      Additional Pain In Capital</t>
  </si>
  <si>
    <t>BS_ADD_PAID_IN_CAP</t>
  </si>
  <si>
    <t>BS122</t>
  </si>
  <si>
    <t xml:space="preserve">      Retained Earnings</t>
  </si>
  <si>
    <t>CB_BS_RETAINED_ERN</t>
  </si>
  <si>
    <t>BL592</t>
  </si>
  <si>
    <t xml:space="preserve">      Accumulated Other Comprehensive Income</t>
  </si>
  <si>
    <t>BS_ACCUMULATED_OTHER_COMP_INC</t>
  </si>
  <si>
    <t>BM255</t>
  </si>
  <si>
    <t xml:space="preserve">    Total Liabilities &amp; Shareholders' Equity</t>
  </si>
  <si>
    <t xml:space="preserve">  Special Company Reference Items</t>
  </si>
  <si>
    <t xml:space="preserve">    Deferred Revenue</t>
  </si>
  <si>
    <t xml:space="preserve">    Total Contract Assets</t>
  </si>
  <si>
    <t>BS_TOTAL_CONTRACT_ASSETS</t>
  </si>
  <si>
    <t>BM797</t>
  </si>
  <si>
    <t xml:space="preserve">    Return on Assets (%)</t>
  </si>
  <si>
    <t>RETURN_ON_ASSET</t>
  </si>
  <si>
    <t>RR028</t>
  </si>
  <si>
    <t xml:space="preserve">    Return on Equity (%)</t>
  </si>
  <si>
    <t>RETURN_COM_EQY</t>
  </si>
  <si>
    <t>RR029</t>
  </si>
  <si>
    <t xml:space="preserve">    Book Value per Share</t>
  </si>
  <si>
    <t>BOOK_VAL_PER_SH</t>
  </si>
  <si>
    <t>RR020</t>
  </si>
  <si>
    <t xml:space="preserve">  Condensed Cash Flow Statement</t>
  </si>
  <si>
    <t xml:space="preserve">  Cash from Operating Activities</t>
  </si>
  <si>
    <t xml:space="preserve">    Depreciation &amp; Amortization</t>
  </si>
  <si>
    <t>CF_DEPR_AMORT</t>
  </si>
  <si>
    <t>CF011</t>
  </si>
  <si>
    <t>CF_STOCK_BASED_COMPENSATION</t>
  </si>
  <si>
    <t>CF283</t>
  </si>
  <si>
    <t xml:space="preserve">    Other</t>
  </si>
  <si>
    <t>CB_CF_OTHR_NONCSH_ITEMS</t>
  </si>
  <si>
    <t>CF442</t>
  </si>
  <si>
    <t xml:space="preserve">    Change in Non-Cash Working Capital</t>
  </si>
  <si>
    <t>CB_CF_CHANGE_IN_WORKING_CAPITAL</t>
  </si>
  <si>
    <t>CF404</t>
  </si>
  <si>
    <t>CF_ACCT_RCV_UNBILLED_REV</t>
  </si>
  <si>
    <t>CF107</t>
  </si>
  <si>
    <t>CF_CHANGE_IN_INVENTORIES</t>
  </si>
  <si>
    <t>CF109</t>
  </si>
  <si>
    <t xml:space="preserve">      Trade Payable &amp; Other</t>
  </si>
  <si>
    <t>CB_CF_CHANGE_IN_TRADE_PAYBLE_AND_OTHER</t>
  </si>
  <si>
    <t>CF473</t>
  </si>
  <si>
    <t>CF_CHANGE_IN_OPER_LEASE_LIBLTS</t>
  </si>
  <si>
    <t>CF440</t>
  </si>
  <si>
    <t xml:space="preserve">      Prepaid Expenses</t>
  </si>
  <si>
    <t>CF_CHANGE_IN_PREPAID_EXPNSS</t>
  </si>
  <si>
    <t>CF432</t>
  </si>
  <si>
    <t>CF_CHANGE_IN_DEFER_REV_LONG_TERM</t>
  </si>
  <si>
    <t>CF455</t>
  </si>
  <si>
    <t xml:space="preserve">      Accounts Payable &amp; Accrued Expenses</t>
  </si>
  <si>
    <t>CHG_IN_ACCT_PYBL_AND_ACC_EXPNSS</t>
  </si>
  <si>
    <t>CF431</t>
  </si>
  <si>
    <t xml:space="preserve">      Other Current Assets</t>
  </si>
  <si>
    <t>CF_CHANGE_IN_OTHR_CURRNT_ASSTS</t>
  </si>
  <si>
    <t>CF447</t>
  </si>
  <si>
    <t xml:space="preserve">      Non-current Assets</t>
  </si>
  <si>
    <t>CB_CF_CHG_IN_NONCURR_ASSETS</t>
  </si>
  <si>
    <t>CF662</t>
  </si>
  <si>
    <t xml:space="preserve">  Cash Flow from Operations</t>
  </si>
  <si>
    <t>CB_CF_NET_CASH_OPERATING_ACT</t>
  </si>
  <si>
    <t>CF376</t>
  </si>
  <si>
    <t xml:space="preserve">  Cash from Investing Activities</t>
  </si>
  <si>
    <t xml:space="preserve">    Capital Expenditures</t>
  </si>
  <si>
    <t>HEADLINE_CAPEX</t>
  </si>
  <si>
    <t>F1705</t>
  </si>
  <si>
    <t xml:space="preserve">    Investing Other</t>
  </si>
  <si>
    <t>CB_CF_OTHER_INVESTING_ACTIVITIES</t>
  </si>
  <si>
    <t>CF491</t>
  </si>
  <si>
    <t xml:space="preserve">  Cash Flow from Investing</t>
  </si>
  <si>
    <t>CF_CASH_FROM_INV_ACT</t>
  </si>
  <si>
    <t>CF025</t>
  </si>
  <si>
    <t xml:space="preserve">  Cash from Financing Activities</t>
  </si>
  <si>
    <t xml:space="preserve">    Decrease in Long-Term Borrowings</t>
  </si>
  <si>
    <t>CF_REIMB_LT_BORROW</t>
  </si>
  <si>
    <t>CF029</t>
  </si>
  <si>
    <t xml:space="preserve">    Debt Financing/Issuance Costs</t>
  </si>
  <si>
    <t>CB_CF_DEBT_ISSUANCE_COSTS</t>
  </si>
  <si>
    <t>CF506</t>
  </si>
  <si>
    <t xml:space="preserve">    Proceeds from Exercise of Stock Options</t>
  </si>
  <si>
    <t>CB_CF_EXERCISE_OF_STOCK_OPTIONS</t>
  </si>
  <si>
    <t>CF467</t>
  </si>
  <si>
    <t xml:space="preserve">  Cash Flow from Financing</t>
  </si>
  <si>
    <t>CB_CF_NET_CASH_FINANCING_ACT</t>
  </si>
  <si>
    <t>CF378</t>
  </si>
  <si>
    <t xml:space="preserve">    Effect of Foreign Exchange Rates</t>
  </si>
  <si>
    <t>CF_EFFECT_FOREIGN_EXCHANGES</t>
  </si>
  <si>
    <t>CF291</t>
  </si>
  <si>
    <t xml:space="preserve">    Net Change in Cash</t>
  </si>
  <si>
    <t>CF_NET_CHNG_CASH</t>
  </si>
  <si>
    <t>CF036</t>
  </si>
  <si>
    <t xml:space="preserve">      Cash &amp; Cash Equivalents (BOP)</t>
  </si>
  <si>
    <t>CF_CASH_AND_CASH_EQUIV_BEG_BAL</t>
  </si>
  <si>
    <t>CF224</t>
  </si>
  <si>
    <t xml:space="preserve">      Cash &amp; Cash Equivalents (EOP)</t>
  </si>
  <si>
    <t>CF_CASH_AND_CASH_EQUIV_END_BAL</t>
  </si>
  <si>
    <t>CF227</t>
  </si>
  <si>
    <t xml:space="preserve">    </t>
  </si>
  <si>
    <t xml:space="preserve">    Cash Flow per Share</t>
  </si>
  <si>
    <t>CASH_FLOW_PER_SH</t>
  </si>
  <si>
    <t>RR022</t>
  </si>
  <si>
    <t xml:space="preserve">    Free Cash Flow</t>
  </si>
  <si>
    <t>HEADLINE_FCF</t>
  </si>
  <si>
    <t>F1709</t>
  </si>
  <si>
    <t xml:space="preserve">      Free Cash Flow Margin (%)</t>
  </si>
  <si>
    <t>FREE_CASH_FLOW_MARGIN</t>
  </si>
  <si>
    <t>RX588</t>
  </si>
  <si>
    <t xml:space="preserve">    CFO to Sales (%)</t>
  </si>
  <si>
    <t>CFO_TO_SALES</t>
  </si>
  <si>
    <t>RR139</t>
  </si>
  <si>
    <t xml:space="preserve">    Capital Expenditures/Revenue (%)</t>
  </si>
  <si>
    <t>CAP_EXPEND_TO_SALES</t>
  </si>
  <si>
    <t>RR166</t>
  </si>
  <si>
    <t>Source: Bloomberg</t>
  </si>
  <si>
    <t>2018 A (Rep)</t>
  </si>
  <si>
    <t>2019 A (Rep)</t>
  </si>
  <si>
    <t>2020 A (Rep)</t>
  </si>
  <si>
    <t>2021 A (Rep)</t>
  </si>
  <si>
    <t>2022 A (Rep)</t>
  </si>
  <si>
    <t>2023 A (Rep)</t>
  </si>
  <si>
    <t>2024 A (Rep)</t>
  </si>
  <si>
    <t>2025 A (Rep)</t>
  </si>
  <si>
    <t>2026 A (Fwd)</t>
  </si>
  <si>
    <t>2027 A (Fwd)</t>
  </si>
  <si>
    <t/>
  </si>
  <si>
    <t>Samsara, Inc. Class A (IOT)</t>
  </si>
  <si>
    <t>$38.72</t>
  </si>
  <si>
    <t>Samsara, Inc. Class A</t>
  </si>
  <si>
    <t xml:space="preserve">IOT   79589L106   BPK3058   NYSE    Common stock    </t>
  </si>
  <si>
    <t>Source: FactSet Fundamentals</t>
  </si>
  <si>
    <t>JAN '20</t>
  </si>
  <si>
    <t>JAN '21</t>
  </si>
  <si>
    <t>JAN '22</t>
  </si>
  <si>
    <t>JAN '23</t>
  </si>
  <si>
    <t>JAN '24</t>
  </si>
  <si>
    <t>JAN '25</t>
  </si>
  <si>
    <t>JUL '25</t>
  </si>
  <si>
    <t>LTM</t>
  </si>
  <si>
    <t>Sales</t>
  </si>
  <si>
    <t>Cost of Goods Sold (COGS) incl. D&amp;A</t>
  </si>
  <si>
    <t>COGS excluding D&amp;A</t>
  </si>
  <si>
    <t>Depreciation &amp; Amortization Expense</t>
  </si>
  <si>
    <t>Depreciation</t>
  </si>
  <si>
    <t>Amortization of Deferred Charges</t>
  </si>
  <si>
    <t>Gross Income</t>
  </si>
  <si>
    <t>SG&amp;A Expense</t>
  </si>
  <si>
    <t>Research &amp; Development</t>
  </si>
  <si>
    <t>Other SG&amp;A</t>
  </si>
  <si>
    <t>EBIT (Operating Income)</t>
  </si>
  <si>
    <t>Nonoperating Income - Net</t>
  </si>
  <si>
    <t>Other Income (Expense)</t>
  </si>
  <si>
    <t>Unusual Expense - Net</t>
  </si>
  <si>
    <t>Impairments</t>
  </si>
  <si>
    <t>Property,Plant &amp; Equipment</t>
  </si>
  <si>
    <t>Restructuring Expense</t>
  </si>
  <si>
    <t>Legal Claim Expense</t>
  </si>
  <si>
    <t>Pretax Income</t>
  </si>
  <si>
    <t>Income Taxes</t>
  </si>
  <si>
    <t>Income Taxes - Current Domestic</t>
  </si>
  <si>
    <t>Income Taxes - Current Foreign</t>
  </si>
  <si>
    <t>Income Taxes - Deferred Foreign</t>
  </si>
  <si>
    <t>Consolidated Net Income</t>
  </si>
  <si>
    <t>Net Income</t>
  </si>
  <si>
    <t>Preferred Dividends</t>
  </si>
  <si>
    <t>Net Income available to Common</t>
  </si>
  <si>
    <t>Per Share</t>
  </si>
  <si>
    <t>EPS (recurring)</t>
  </si>
  <si>
    <t>EPS (basic)</t>
  </si>
  <si>
    <t>Basic Shares Outstanding</t>
  </si>
  <si>
    <t>Total Shares Outstanding</t>
  </si>
  <si>
    <t>EPS (diluted)</t>
  </si>
  <si>
    <t>Diluted Shares Outstanding</t>
  </si>
  <si>
    <t>Earnings Persistence</t>
  </si>
  <si>
    <t>EBITDA</t>
  </si>
  <si>
    <t>EBIT</t>
  </si>
  <si>
    <t>All figures in millions of U.S. Dollar except per share items.</t>
  </si>
  <si>
    <t>Assets</t>
  </si>
  <si>
    <t>Cash &amp; Short-Term Investments</t>
  </si>
  <si>
    <t>Cash Only</t>
  </si>
  <si>
    <t>Total Short Term Investments</t>
  </si>
  <si>
    <t>Short-Term Receivables</t>
  </si>
  <si>
    <t>Accounts Receivables, Net</t>
  </si>
  <si>
    <t>Accounts Receivables, Gross</t>
  </si>
  <si>
    <t>Bad Debt/Doubtful Accounts</t>
  </si>
  <si>
    <t>Other Receivables</t>
  </si>
  <si>
    <t>Inventories</t>
  </si>
  <si>
    <t>Finished Goods</t>
  </si>
  <si>
    <t>Raw Materials</t>
  </si>
  <si>
    <t>Other Current Assets</t>
  </si>
  <si>
    <t>Miscellaneous Current Assets</t>
  </si>
  <si>
    <t>Total Current Assets</t>
  </si>
  <si>
    <t>Net Property, Plant &amp; Equipment</t>
  </si>
  <si>
    <t>Property, Plant &amp; Equipment - Gross</t>
  </si>
  <si>
    <t>Computer Software and Equipment</t>
  </si>
  <si>
    <t>Other Property, Plant &amp; Equipment</t>
  </si>
  <si>
    <t>Operating Lease Right-of-Use Assets</t>
  </si>
  <si>
    <t>Accumulated Depreciation</t>
  </si>
  <si>
    <t xml:space="preserve">Total Long-Term Investments </t>
  </si>
  <si>
    <t>Other Long-Term Investments</t>
  </si>
  <si>
    <t>Other Assets</t>
  </si>
  <si>
    <t>Deferred Charges</t>
  </si>
  <si>
    <t>Tangible Other Assets</t>
  </si>
  <si>
    <t>Total Assets</t>
  </si>
  <si>
    <t>Liabilities &amp; Shareholders' Equity</t>
  </si>
  <si>
    <t>Current</t>
  </si>
  <si>
    <t>ST Debt &amp; Curr. Portion LT Debt</t>
  </si>
  <si>
    <t>Accounts Payable</t>
  </si>
  <si>
    <t>Other Current Liabilities</t>
  </si>
  <si>
    <t>Accrued Payroll</t>
  </si>
  <si>
    <t>Miscellaneous Current Liabilities</t>
  </si>
  <si>
    <t>Total Current Liabilities</t>
  </si>
  <si>
    <t>Long-Term</t>
  </si>
  <si>
    <t>Long-Term Debt</t>
  </si>
  <si>
    <t>Long-Term Debt excl Lease Obligations</t>
  </si>
  <si>
    <t>Capital and Operating Lease Obligations</t>
  </si>
  <si>
    <t>Other Liabilities</t>
  </si>
  <si>
    <t>Other Liabilities (excl. Deferred Income)</t>
  </si>
  <si>
    <t>Deferred Income</t>
  </si>
  <si>
    <t>Total Liabilities</t>
  </si>
  <si>
    <t>Equity</t>
  </si>
  <si>
    <t>Common Equity</t>
  </si>
  <si>
    <t>Common Stock Par/Carry Value</t>
  </si>
  <si>
    <t>Additional Paid-In Capital/Capital Surplus</t>
  </si>
  <si>
    <t>Retained Earnings</t>
  </si>
  <si>
    <t>Cumulative Translation Adjustment/Unrealized For. Exch. Gain</t>
  </si>
  <si>
    <t>Other Appropriated Reserves</t>
  </si>
  <si>
    <t>Total Shareholders' Equity</t>
  </si>
  <si>
    <t>Total Equity</t>
  </si>
  <si>
    <t>Total Liabilities &amp; Shareholders' Equity</t>
  </si>
  <si>
    <t>Book Value per Share</t>
  </si>
  <si>
    <t>Tangible Book Value per Share</t>
  </si>
  <si>
    <t>GAAP/IFRS Cash Flow</t>
  </si>
  <si>
    <t>Operating Activities</t>
  </si>
  <si>
    <t>Net Income / Starting Line</t>
  </si>
  <si>
    <t>Depreciation, Depletion &amp; Amortization</t>
  </si>
  <si>
    <t>Depreciation and Depletion</t>
  </si>
  <si>
    <t>Other Funds</t>
  </si>
  <si>
    <t>Funds from Operations</t>
  </si>
  <si>
    <t>Changes in Working Capital</t>
  </si>
  <si>
    <t>Receivables</t>
  </si>
  <si>
    <t>Other Assets/Liabilities</t>
  </si>
  <si>
    <t>Net Operating Cash Flow</t>
  </si>
  <si>
    <t>Investing Activities</t>
  </si>
  <si>
    <t>Capital Expenditures</t>
  </si>
  <si>
    <t>Capital Expenditures (Fixed Assets)</t>
  </si>
  <si>
    <t>Purchase/Sale of Investments</t>
  </si>
  <si>
    <t>Purchase of Investments</t>
  </si>
  <si>
    <t>Sale/Maturity of Investments</t>
  </si>
  <si>
    <t>Other Uses</t>
  </si>
  <si>
    <t>Other Sources</t>
  </si>
  <si>
    <t>Net Investing Cash Flow</t>
  </si>
  <si>
    <t>Financing Activities</t>
  </si>
  <si>
    <t>Change in Capital Stock</t>
  </si>
  <si>
    <t>Repurchase of Common &amp; Preferred Stk.</t>
  </si>
  <si>
    <t>Sale of Common &amp; Preferred Stock</t>
  </si>
  <si>
    <t>Proceeds from Sale of Stock</t>
  </si>
  <si>
    <t>Proceeds from Stock Options</t>
  </si>
  <si>
    <t>Issuance/Reduction of Debt, Net</t>
  </si>
  <si>
    <t>Change in Long-Term Debt</t>
  </si>
  <si>
    <t>Reduction in Long-Term Debt</t>
  </si>
  <si>
    <t>Net Financing Cash Flow</t>
  </si>
  <si>
    <t>All Activities</t>
  </si>
  <si>
    <t>Exchange Rate Effect</t>
  </si>
  <si>
    <t>Net Change in Cash</t>
  </si>
  <si>
    <t>Free Cash Flow</t>
  </si>
  <si>
    <t>Free Cash Flow per Share</t>
  </si>
  <si>
    <t>Free Cash Flow Yield (%)</t>
  </si>
  <si>
    <t>Supplemental</t>
  </si>
  <si>
    <t>Taxation</t>
  </si>
  <si>
    <t>Projected</t>
  </si>
  <si>
    <t>Date</t>
  </si>
  <si>
    <t>FY26</t>
  </si>
  <si>
    <t>FY27</t>
  </si>
  <si>
    <t>FY28</t>
  </si>
  <si>
    <t>FY29</t>
  </si>
  <si>
    <t>Revenue Build</t>
  </si>
  <si>
    <t>FY20</t>
  </si>
  <si>
    <t>FY21</t>
  </si>
  <si>
    <t>FY22</t>
  </si>
  <si>
    <t>FY23</t>
  </si>
  <si>
    <t>FY24</t>
  </si>
  <si>
    <t>FY25</t>
  </si>
  <si>
    <t>FY30</t>
  </si>
  <si>
    <t>Horizontal</t>
  </si>
  <si>
    <t>Revenue</t>
  </si>
  <si>
    <t>ARR</t>
  </si>
  <si>
    <t>Telematics</t>
  </si>
  <si>
    <t>Camera</t>
  </si>
  <si>
    <t>% ARR</t>
  </si>
  <si>
    <t>Other</t>
  </si>
  <si>
    <t>%ARR</t>
  </si>
  <si>
    <t>Telematics Build</t>
  </si>
  <si>
    <t>Camera Build</t>
  </si>
  <si>
    <t>Total North American Commercial Vehicles</t>
  </si>
  <si>
    <t>North American Commercial Vehicle Penetration</t>
  </si>
  <si>
    <t>Total NA Vehicles Served</t>
  </si>
  <si>
    <t>Total European Commercial Vehicles</t>
  </si>
  <si>
    <t>European Commercial Vehicle Penetration</t>
  </si>
  <si>
    <t>Total European Vehicles Served</t>
  </si>
  <si>
    <t>Total Telematics ARR</t>
  </si>
  <si>
    <t>y/y growth</t>
  </si>
  <si>
    <t>Total Vehicles Served</t>
  </si>
  <si>
    <t>Telematics ARPU</t>
  </si>
  <si>
    <t>Implied Monthly Revenue/Vehicle</t>
  </si>
  <si>
    <t>Total Video-Based Safety ARR</t>
  </si>
  <si>
    <t>% growth</t>
  </si>
  <si>
    <t>%growth</t>
  </si>
  <si>
    <t>Samsara</t>
  </si>
  <si>
    <t>NASDAQ: IOT</t>
  </si>
  <si>
    <t>Operating Model</t>
  </si>
  <si>
    <t>BoP &gt; $100K ARR customers, # of customers</t>
  </si>
  <si>
    <t>&gt; $100K ARR customers net additions, # of customers</t>
  </si>
  <si>
    <t>EoP &gt; $100K ARR customers, # of customers</t>
  </si>
  <si>
    <t>Y/Y EoP &gt; $100K ARR customers growth, %</t>
  </si>
  <si>
    <t>BoP $5K - $100K ARR customers, # of customers</t>
  </si>
  <si>
    <t>EoP $5K - $100K ARR customers, # of customers</t>
  </si>
  <si>
    <t>Y/Y EoP $5K - $100K ARR customers growth, %</t>
  </si>
  <si>
    <t>BoP Core Customers, # of customers</t>
  </si>
  <si>
    <t>Core customers net additions, # of customers</t>
  </si>
  <si>
    <t>EoP Core Customers, # of customers</t>
  </si>
  <si>
    <t>Y/Y Core customers growth, %</t>
  </si>
  <si>
    <t>ARR per &gt; $100k ARR customers, ARR/customer</t>
  </si>
  <si>
    <t>Y/Y ARR per &gt; $100k ARR customer growth, %</t>
  </si>
  <si>
    <t>ARR per $5K-100K ARR customers, ARR/customer</t>
  </si>
  <si>
    <t>Y/Y ARR per $5K-$100K ARR customer growth, %</t>
  </si>
  <si>
    <t>&gt; $100k ARR customers ARR, mm</t>
  </si>
  <si>
    <t>Y/Y &gt; $100 ARR customers ARR growth, %</t>
  </si>
  <si>
    <t>Y/Y $5K - $100K ARR customers ARR growth, %</t>
  </si>
  <si>
    <t>&lt; $10K ARR customers ARR, mm</t>
  </si>
  <si>
    <t>Y/Y &lt; $10K ARR customers ARR growth, %</t>
  </si>
  <si>
    <t>Total ARR, mm</t>
  </si>
  <si>
    <t>Y/Y Total ARR growth, %</t>
  </si>
  <si>
    <t>&gt; $100k ARR customers ARR mix, %</t>
  </si>
  <si>
    <t>&lt; $10K ARR customers ARR mix, %</t>
  </si>
  <si>
    <t>Total ARR mix, %</t>
  </si>
  <si>
    <t>Subscription Revenue, mm</t>
  </si>
  <si>
    <t>Y/Y Subscription revenue growth, %</t>
  </si>
  <si>
    <t>Other revenue, mm</t>
  </si>
  <si>
    <t>Y/Y Other revenue growth, %</t>
  </si>
  <si>
    <t>Total Revenues, mm</t>
  </si>
  <si>
    <t>Y/Y Total revenue growth, %</t>
  </si>
  <si>
    <t>$10K - $100K ARR customers ARR, mm</t>
  </si>
  <si>
    <t>$10K - $100K ARR customers net additions, # of customers</t>
  </si>
  <si>
    <t>$10K - $100K ARR customers ARR mix, %</t>
  </si>
  <si>
    <t>Revenue Build By Customer Segment</t>
  </si>
  <si>
    <t>COGS</t>
  </si>
  <si>
    <t>Gross Profit</t>
  </si>
  <si>
    <t>% Margin</t>
  </si>
  <si>
    <t>Operating Expenses</t>
  </si>
  <si>
    <t>% Revenue</t>
  </si>
  <si>
    <t>Operating Income</t>
  </si>
  <si>
    <t>% EBT</t>
  </si>
  <si>
    <t>FY26E</t>
  </si>
  <si>
    <t>FY27E</t>
  </si>
  <si>
    <t>FY28E</t>
  </si>
  <si>
    <t>FY29E</t>
  </si>
  <si>
    <t>FY30E</t>
  </si>
  <si>
    <t>Historicals</t>
  </si>
  <si>
    <t>Short Term Recievables </t>
  </si>
  <si>
    <t>DSO</t>
  </si>
  <si>
    <t>Inventories </t>
  </si>
  <si>
    <t>DIO</t>
  </si>
  <si>
    <t>% of sales</t>
  </si>
  <si>
    <t>DPO</t>
  </si>
  <si>
    <t>% of Sales</t>
  </si>
  <si>
    <t>Net Working Capital</t>
  </si>
  <si>
    <t>changes in NWC</t>
  </si>
  <si>
    <t>Samsara Inc (IOT US) - BBG Adjusted</t>
  </si>
  <si>
    <t>In Millions of USD except Per Share</t>
  </si>
  <si>
    <t>FY 2020</t>
  </si>
  <si>
    <t>FY 2021</t>
  </si>
  <si>
    <t>FY 2022</t>
  </si>
  <si>
    <t>FY 2023</t>
  </si>
  <si>
    <t>FY 2024</t>
  </si>
  <si>
    <t>FY 2025</t>
  </si>
  <si>
    <t>Last 12M</t>
  </si>
  <si>
    <t>FY 2026 Est</t>
  </si>
  <si>
    <t>FY 2027 Est</t>
  </si>
  <si>
    <t>02/01/2020</t>
  </si>
  <si>
    <t>01/30/2021</t>
  </si>
  <si>
    <t>01/29/2022</t>
  </si>
  <si>
    <t>01/28/2023</t>
  </si>
  <si>
    <t>02/03/2024</t>
  </si>
  <si>
    <t>02/01/2025</t>
  </si>
  <si>
    <t>08/02/2025</t>
  </si>
  <si>
    <t>01/31/2026</t>
  </si>
  <si>
    <t>01/31/2027</t>
  </si>
  <si>
    <t xml:space="preserve">    + Sales &amp; Services Revenue</t>
  </si>
  <si>
    <t>IS_SALES_AND_SERVICES_REVENUES</t>
  </si>
  <si>
    <t xml:space="preserve">    + Other Revenue</t>
  </si>
  <si>
    <t>IS_OTHER_REVENUE</t>
  </si>
  <si>
    <t xml:space="preserve">  - Cost of Revenue</t>
  </si>
  <si>
    <t>IS_COGS_TO_FE_AND_PP_AND_G</t>
  </si>
  <si>
    <t xml:space="preserve">    + Cost of Goods &amp; Services</t>
  </si>
  <si>
    <t>IS_COG_AND_SERVICES_SOLD</t>
  </si>
  <si>
    <t>GROSS_PROFIT</t>
  </si>
  <si>
    <t xml:space="preserve">  + Other Operating Income</t>
  </si>
  <si>
    <t>IS_OTHER_OPER_INC</t>
  </si>
  <si>
    <t xml:space="preserve">  - Operating Expenses</t>
  </si>
  <si>
    <t xml:space="preserve">    + Selling, General &amp; Admin</t>
  </si>
  <si>
    <t>IS_SGA_EXPENSE</t>
  </si>
  <si>
    <t xml:space="preserve">    + Selling &amp; Marketing</t>
  </si>
  <si>
    <t xml:space="preserve">    + General &amp; Administrative</t>
  </si>
  <si>
    <t>IS_GENERAL_AND_ADMINISTRATIVE</t>
  </si>
  <si>
    <t xml:space="preserve">    + Research &amp; Development</t>
  </si>
  <si>
    <t>IS_OPERATING_EXPENSES_RD</t>
  </si>
  <si>
    <t xml:space="preserve">    + Other Operating Expense</t>
  </si>
  <si>
    <t>IS_OTHER_OPERATING_EXPENSES</t>
  </si>
  <si>
    <t>Operating Income (Loss)</t>
  </si>
  <si>
    <t>IS_OPER_INC</t>
  </si>
  <si>
    <t xml:space="preserve">  - Non-Operating (Income) Loss</t>
  </si>
  <si>
    <t>IS_NONOP_INCOME_LOSS</t>
  </si>
  <si>
    <t xml:space="preserve">    + Foreign Exch (Gain) Loss</t>
  </si>
  <si>
    <t>IS_FOREIGN_EXCH_LOSS</t>
  </si>
  <si>
    <t xml:space="preserve">    + Other Non-Op (Income) Loss</t>
  </si>
  <si>
    <t>IS_OTHER_NON_OPERATING_INC_LOSS</t>
  </si>
  <si>
    <t>Pretax Income (Loss), Adjusted</t>
  </si>
  <si>
    <t>PRETAX_INC</t>
  </si>
  <si>
    <t xml:space="preserve">  - Abnormal Losses (Gains)</t>
  </si>
  <si>
    <t>IS_ABNORMAL_ITEM</t>
  </si>
  <si>
    <t xml:space="preserve">    + Legal Settlement</t>
  </si>
  <si>
    <t>IS_LEGAL_LITIGATION_SETTLEMENT</t>
  </si>
  <si>
    <t xml:space="preserve">    + Other Abnormal Items</t>
  </si>
  <si>
    <t>IS_OTHER_ONE_TIME_ITEMS</t>
  </si>
  <si>
    <t>Pretax Income (Loss), GAAP</t>
  </si>
  <si>
    <t xml:space="preserve">  - Income Tax Expense (Benefit)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</si>
  <si>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</si>
  <si>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</si>
  <si>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</si>
  <si>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</si>
  <si>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>Income (Loss) from Cont Ops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</si>
  <si>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</si>
  <si>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</si>
  <si>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</si>
  <si>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</si>
  <si>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</si>
  <si>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</si>
  <si>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</si>
  <si>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</si>
  <si>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</si>
  <si>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</si>
  <si>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</si>
  <si>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</si>
  <si>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</si>
  <si>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</si>
  <si>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</si>
  <si>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</si>
  <si>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</si>
  <si>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</si>
  <si>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</si>
  <si>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</si>
  <si>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</si>
  <si>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</si>
  <si>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</si>
  <si>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</si>
  <si>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</si>
  <si>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</si>
  <si>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</si>
  <si>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</si>
  <si>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</si>
  <si>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</si>
  <si>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</si>
  <si>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</si>
  <si>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</si>
  <si>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</si>
  <si>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</si>
  <si>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</si>
  <si>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Reference Items</t>
  </si>
  <si>
    <t>Accounting Standard</t>
  </si>
  <si>
    <t>ACCOUNTING_STANDARD</t>
  </si>
  <si>
    <t>US GAAP</t>
  </si>
  <si>
    <t>EBITDA Margin (T12M)</t>
  </si>
  <si>
    <t>EBITDA_MARGIN</t>
  </si>
  <si>
    <t>EBITA</t>
  </si>
  <si>
    <t>Gross Margin</t>
  </si>
  <si>
    <t>Operating Margin</t>
  </si>
  <si>
    <t>Profit Margin</t>
  </si>
  <si>
    <t>PROF_MARGIN</t>
  </si>
  <si>
    <t>Dividends per Share</t>
  </si>
  <si>
    <t>EQY_DPS</t>
  </si>
  <si>
    <t>Total Cash Common Dividends</t>
  </si>
  <si>
    <t>IS_TOT_CASH_COM_DVD</t>
  </si>
  <si>
    <t>Depreciation Expense</t>
  </si>
  <si>
    <t>IS_DEPR_EXP</t>
  </si>
  <si>
    <t>Rental Expense</t>
  </si>
  <si>
    <t>BS_CURR_RENTAL_EXPENSE</t>
  </si>
  <si>
    <t>Right click to show data transparency (not supported for all values)</t>
  </si>
  <si>
    <t>—</t>
  </si>
  <si>
    <t>Samsara Inc (IOT US) - Standardized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</si>
  <si>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</si>
  <si>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</si>
  <si>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</si>
  <si>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</si>
  <si>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</si>
  <si>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</si>
  <si>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</si>
  <si>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</si>
  <si>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</si>
  <si>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</si>
  <si>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</si>
  <si>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</si>
  <si>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Unbilled Revenues</t>
  </si>
  <si>
    <t>BS_UNBILLED_REVENUES</t>
  </si>
  <si>
    <t xml:space="preserve">  + Inventories</t>
  </si>
  <si>
    <t>BS_INVENTORIES</t>
  </si>
  <si>
    <t xml:space="preserve">  + Other ST Assets</t>
  </si>
  <si>
    <t>OTHER_CURRENT_ASSETS_DETAILED</t>
  </si>
  <si>
    <t xml:space="preserve">    + Derivative &amp; Hedging Assets</t>
  </si>
  <si>
    <t>BS_DERIV_HEDGING_ASST_ST</t>
  </si>
  <si>
    <t xml:space="preserve">    + Misc ST Assets</t>
  </si>
  <si>
    <t>BS_OTHER_CUR_ASSET_LESS_PREPAY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</si>
  <si>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</si>
  <si>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</si>
  <si>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</si>
  <si>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</si>
  <si>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</si>
  <si>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</si>
  <si>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</si>
  <si>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</si>
  <si>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</si>
  <si>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</si>
  <si>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</si>
  <si>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</si>
  <si>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</si>
  <si>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</si>
  <si>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</si>
  <si>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</si>
  <si>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</si>
  <si>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</si>
  <si>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</si>
  <si>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>BS_DERIV_HEDGING_ASST_LT</t>
  </si>
  <si>
    <t xml:space="preserve">    + Misc LT Assets</t>
  </si>
  <si>
    <t>OTHER_NONCURRENT_ASSETS_DETAILED</t>
  </si>
  <si>
    <t>Total Noncurrent Assets</t>
  </si>
  <si>
    <t>BS_TOT_NON_CUR_ASSET</t>
  </si>
  <si>
    <t xml:space="preserve">  + Payables &amp; Accruals</t>
  </si>
  <si>
    <t>ACCT_PAYABLE_ACCRUALS_DETAILED</t>
  </si>
  <si>
    <t xml:space="preserve">    + Accounts 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</si>
  <si>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</si>
  <si>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</si>
  <si>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</si>
  <si>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</si>
  <si>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</si>
  <si>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</si>
  <si>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</si>
  <si>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</si>
  <si>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</si>
  <si>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</si>
  <si>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  + ST Operating Leases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</si>
  <si>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</si>
  <si>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</si>
  <si>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</si>
  <si>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</si>
  <si>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</si>
  <si>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</si>
  <si>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Misc ST Liabilities</t>
  </si>
  <si>
    <t>OTHER_CURRENT_LIABS_DETAILED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</si>
  <si>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</si>
  <si>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</si>
  <si>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</si>
  <si>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</si>
  <si>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</si>
  <si>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</si>
  <si>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</si>
  <si>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</si>
  <si>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</si>
  <si>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    + LT Operating Leases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</si>
  <si>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</si>
  <si>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</si>
  <si>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</si>
  <si>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</si>
  <si>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</si>
  <si>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</si>
  <si>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</si>
  <si>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</si>
  <si>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</si>
  <si>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</si>
  <si>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>LT_DEFERRED_REVENUE</t>
  </si>
  <si>
    <t>BS_DERIV_HEDGING_LIAB_LT</t>
  </si>
  <si>
    <t xml:space="preserve">    + Misc LT Liabilities</t>
  </si>
  <si>
    <t>OTHER_NONCURRENT_LIABS_DETAILED</t>
  </si>
  <si>
    <t>Total Noncurrent Liabilities</t>
  </si>
  <si>
    <t>NON_CUR_LIAB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</si>
  <si>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</si>
  <si>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</si>
  <si>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</si>
  <si>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</si>
  <si>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</si>
  <si>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</si>
  <si>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</si>
  <si>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</si>
  <si>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</si>
  <si>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</si>
  <si>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</si>
  <si>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</si>
  <si>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</si>
  <si>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</si>
  <si>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</si>
  <si>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</si>
  <si>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</si>
  <si>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</si>
  <si>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TOTAL_EQUITY</t>
  </si>
  <si>
    <t>Total Liabilities &amp; Equity</t>
  </si>
  <si>
    <t>TOT_LIAB_AND_EQY</t>
  </si>
  <si>
    <t>Shares Outstanding</t>
  </si>
  <si>
    <t>BS_SH_OUT</t>
  </si>
  <si>
    <t>Number of Treasury Shares</t>
  </si>
  <si>
    <t>BS_NUM_OF_TSY_SH</t>
  </si>
  <si>
    <t>Pension Obligations</t>
  </si>
  <si>
    <t>BS_PENSION_RSRV</t>
  </si>
  <si>
    <t>Future Minimum Operating Lease Obligations</t>
  </si>
  <si>
    <t>BS_FUTURE_MIN_OPER_LEASE_OBLIG</t>
  </si>
  <si>
    <t>Capital Leases - Total</t>
  </si>
  <si>
    <t>BS_TOTAL_CAPITAL_LEASES</t>
  </si>
  <si>
    <t>Options Granted During Period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</si>
  <si>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</si>
  <si>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</si>
  <si>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</si>
  <si>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</si>
  <si>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</si>
  <si>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</si>
  <si>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</si>
  <si>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</si>
  <si>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</si>
  <si>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</si>
  <si>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Cash Conversion Cycle</t>
  </si>
  <si>
    <t>CASH_CONVERSION_CYCLE</t>
  </si>
  <si>
    <t>Cash from Operating Activities</t>
  </si>
  <si>
    <t xml:space="preserve">  + Net Income</t>
  </si>
  <si>
    <t>CF_NET_INC</t>
  </si>
  <si>
    <t xml:space="preserve">  + Depreciation &amp; Amortization</t>
  </si>
  <si>
    <t xml:space="preserve">  + Non-Cash Items</t>
  </si>
  <si>
    <t>NON_CASH_ITEMS_DETAILED</t>
  </si>
  <si>
    <t xml:space="preserve">    + Stock-Based Compensation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</si>
  <si>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</si>
  <si>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</si>
  <si>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</si>
  <si>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</si>
  <si>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</si>
  <si>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 xml:space="preserve">    + (Inc) Dec in Inventories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</si>
  <si>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</si>
  <si>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</si>
  <si>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</si>
  <si>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</si>
  <si>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CF_CASH_FROM_OPER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</si>
  <si>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</si>
  <si>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</si>
  <si>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</si>
  <si>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</si>
  <si>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</si>
  <si>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</si>
  <si>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</si>
  <si>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</si>
  <si>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</si>
  <si>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</si>
  <si>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</si>
  <si>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</si>
  <si>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</si>
  <si>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</si>
  <si>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</si>
  <si>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</si>
  <si>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</si>
  <si>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</si>
  <si>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</si>
  <si>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</si>
  <si>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</si>
  <si>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</si>
  <si>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</si>
  <si>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</si>
  <si>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</si>
  <si>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</si>
  <si>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</si>
  <si>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</si>
  <si>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</si>
  <si>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</si>
  <si>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</si>
  <si>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</si>
  <si>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</si>
  <si>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</si>
  <si>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</si>
  <si>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</si>
  <si>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</si>
  <si>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</si>
  <si>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</si>
  <si>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</si>
  <si>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</si>
  <si>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</si>
  <si>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</si>
  <si>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</si>
  <si>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</si>
  <si>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</si>
  <si>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</si>
  <si>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</si>
  <si>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</si>
  <si>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</si>
  <si>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</si>
  <si>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</si>
  <si>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</si>
  <si>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</si>
  <si>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Net Changes in Cash</t>
  </si>
  <si>
    <t>Cash Paid for Taxes</t>
  </si>
  <si>
    <t>CF_CASH_PAID_FOR_TAX</t>
  </si>
  <si>
    <t>Trailing 12M EBITDA Margin</t>
  </si>
  <si>
    <t>CF_FREE_CASH_FLOW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</si>
  <si>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</si>
  <si>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</si>
  <si>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</si>
  <si>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</si>
  <si>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</si>
  <si>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</si>
  <si>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Capex</t>
  </si>
  <si>
    <t>%Capex</t>
  </si>
  <si>
    <t>NOPAT</t>
  </si>
  <si>
    <t>(+) Depreciation</t>
  </si>
  <si>
    <t>(-) Change in NWC</t>
  </si>
  <si>
    <t>(-) Capex</t>
  </si>
  <si>
    <t>UFCF</t>
  </si>
  <si>
    <t>WACC</t>
  </si>
  <si>
    <t>Cost of Equity</t>
  </si>
  <si>
    <t xml:space="preserve">Cost of Equity </t>
  </si>
  <si>
    <t>Risk Free Rate</t>
  </si>
  <si>
    <t>Levered Beta</t>
  </si>
  <si>
    <t>Market Risk Premium</t>
  </si>
  <si>
    <t xml:space="preserve">Cost of Debt </t>
  </si>
  <si>
    <t>Yield of Debt</t>
  </si>
  <si>
    <t>Tax Rate</t>
  </si>
  <si>
    <t>After Tax Cost of Debt</t>
  </si>
  <si>
    <t>Capital Structure</t>
  </si>
  <si>
    <t>Total Debt/ Total Capital</t>
  </si>
  <si>
    <t>Total Equity/Total Capital</t>
  </si>
  <si>
    <t>Total Debt/</t>
  </si>
  <si>
    <t>Beta  to</t>
  </si>
  <si>
    <t>Company</t>
  </si>
  <si>
    <t>Fiscal</t>
  </si>
  <si>
    <t>Enterprise</t>
  </si>
  <si>
    <t>Total</t>
  </si>
  <si>
    <t>EV/SALES</t>
  </si>
  <si>
    <t>Loc Indx</t>
  </si>
  <si>
    <t>Name</t>
  </si>
  <si>
    <t>Ticker</t>
  </si>
  <si>
    <t>Period</t>
  </si>
  <si>
    <t>Value</t>
  </si>
  <si>
    <t>Equity (%)</t>
  </si>
  <si>
    <t>NTM (x)</t>
  </si>
  <si>
    <t>5 Year</t>
  </si>
  <si>
    <t>Samsara A</t>
  </si>
  <si>
    <t>IOT-US</t>
  </si>
  <si>
    <t>Snowflake</t>
  </si>
  <si>
    <t>SNOW-US</t>
  </si>
  <si>
    <t>07/31/2025</t>
  </si>
  <si>
    <t>ServiceNow</t>
  </si>
  <si>
    <t>NOW-US</t>
  </si>
  <si>
    <t>09/30/2025</t>
  </si>
  <si>
    <t>Zscaler</t>
  </si>
  <si>
    <t>ZS-US</t>
  </si>
  <si>
    <t>07/2025</t>
  </si>
  <si>
    <t>Cloudflare A</t>
  </si>
  <si>
    <t>NET-US</t>
  </si>
  <si>
    <t>monday.com</t>
  </si>
  <si>
    <t>MNDY-US</t>
  </si>
  <si>
    <t>06/30/2025</t>
  </si>
  <si>
    <t>Average</t>
  </si>
  <si>
    <t>Median</t>
  </si>
  <si>
    <t>Unlevered Beta</t>
  </si>
  <si>
    <t>Relevered Beta</t>
  </si>
  <si>
    <t>Discount Factor</t>
  </si>
  <si>
    <t>PV of UFCF</t>
  </si>
  <si>
    <t>Terminal Value: Exit Multiple Method</t>
  </si>
  <si>
    <t>Exit Multiple</t>
  </si>
  <si>
    <t>Terminal Value</t>
  </si>
  <si>
    <t>Discounted TV</t>
  </si>
  <si>
    <t>Enterprise Value</t>
  </si>
  <si>
    <t>(-) Debt</t>
  </si>
  <si>
    <t>(+) Cash</t>
  </si>
  <si>
    <t>Equity Value</t>
  </si>
  <si>
    <t>Implied Share Price</t>
  </si>
  <si>
    <t>Current Share Price</t>
  </si>
  <si>
    <t>Implied Upside</t>
  </si>
  <si>
    <t>Terminal Revenue</t>
  </si>
  <si>
    <t>14x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</si>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</sst>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8" formatCode="&quot;$&quot;#,##0.00_);[Red]\(&quot;$&quot;#,##0.00\)"/>
    <numFmt numFmtId="44" formatCode="_(&quot;$&quot;* #,##0.00_);_(&quot;$&quot;* \(#,##0.00\);_(&quot;$&quot;* &quot;-&quot;??_);_(@_)"/>
    <numFmt numFmtId="164" formatCode="#,##0.0"/>
    <numFmt numFmtId="165" formatCode="0.0"/>
    <numFmt numFmtId="166" formatCode="_(* #,##0.0_);_(* \(#,##0.0\);_(* &quot;-&quot;??_);_(@_)"/>
    <numFmt numFmtId="167" formatCode="_(* 0.0%_);_(* \-0.0%_);_(* &quot;-&quot;??_);_(@_)"/>
    <numFmt numFmtId="168" formatCode="_(* #,##0_);_(* \(#,##0\);_(* &quot;-&quot;??_);_(@_)"/>
    <numFmt numFmtId="169" formatCode="_(&quot;$&quot;* #,##0_);_(&quot;$&quot;* \(#,##0\);_(&quot;$&quot;* &quot;-&quot;??_);_(@_)"/>
    <numFmt numFmtId="170" formatCode="0.0%"/>
    <numFmt numFmtId="171" formatCode="#,##0.00\x"/>
    <numFmt numFmtId="172" formatCode="#,##0.0\%"/>
    <numFmt numFmtId="173" formatCode="_(&quot;$&quot;* #,##0.0_);_(&quot;$&quot;* \(#,##0.0\);_(&quot;$&quot;* &quot;-&quot;?_);_(@_)"/>
  </numFmts>
  <fonts count="5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646464"/>
      <name val="Arial"/>
      <family val="2"/>
    </font>
    <font>
      <b/>
      <sz val="10"/>
      <color rgb="FF003366"/>
      <name val="Arial"/>
      <family val="2"/>
    </font>
    <font>
      <sz val="10"/>
      <color rgb="FFFF0000"/>
      <name val="Arial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sz val="10"/>
      <color theme="1"/>
      <name val="Calibri"/>
      <family val="2"/>
    </font>
    <font>
      <u/>
      <sz val="10"/>
      <color theme="1"/>
      <name val="Calibri"/>
      <family val="2"/>
    </font>
    <font>
      <u/>
      <sz val="11"/>
      <color theme="1"/>
      <name val="Calibri"/>
      <family val="2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1"/>
      <name val="Garamond"/>
      <family val="1"/>
    </font>
    <font>
      <i/>
      <sz val="11"/>
      <color theme="1"/>
      <name val="Garamond"/>
      <family val="1"/>
    </font>
    <font>
      <b/>
      <sz val="11"/>
      <color theme="1"/>
      <name val="Garamond"/>
      <family val="1"/>
    </font>
    <font>
      <b/>
      <sz val="11"/>
      <color indexed="9"/>
      <name val="Calibri"/>
      <family val="2"/>
    </font>
    <font>
      <sz val="10"/>
      <name val="Calibri"/>
      <family val="2"/>
    </font>
    <font>
      <b/>
      <sz val="10"/>
      <color indexed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D8D8D8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72">
    <xf numFmtId="0" fontId="0" fillId="0" borderId="0"/>
    <xf numFmtId="0" fontId="8" fillId="10" borderId="0" applyNumberFormat="0" applyBorder="0" applyAlignment="0" applyProtection="0"/>
    <xf numFmtId="0" fontId="8" fillId="14" borderId="0" applyNumberFormat="0" applyBorder="0" applyAlignment="0" applyProtection="0"/>
    <xf numFmtId="0" fontId="8" fillId="18" borderId="0" applyNumberFormat="0" applyBorder="0" applyAlignment="0" applyProtection="0"/>
    <xf numFmtId="0" fontId="8" fillId="22" borderId="0" applyNumberFormat="0" applyBorder="0" applyAlignment="0" applyProtection="0"/>
    <xf numFmtId="0" fontId="8" fillId="26" borderId="0" applyNumberFormat="0" applyBorder="0" applyAlignment="0" applyProtection="0"/>
    <xf numFmtId="0" fontId="8" fillId="30" borderId="0" applyNumberFormat="0" applyBorder="0" applyAlignment="0" applyProtection="0"/>
    <xf numFmtId="0" fontId="8" fillId="11" borderId="0" applyNumberFormat="0" applyBorder="0" applyAlignment="0" applyProtection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31" borderId="0" applyNumberFormat="0" applyBorder="0" applyAlignment="0" applyProtection="0"/>
    <xf numFmtId="0" fontId="24" fillId="12" borderId="0" applyNumberFormat="0" applyBorder="0" applyAlignment="0" applyProtection="0"/>
    <xf numFmtId="0" fontId="24" fillId="16" borderId="0" applyNumberFormat="0" applyBorder="0" applyAlignment="0" applyProtection="0"/>
    <xf numFmtId="0" fontId="24" fillId="20" borderId="0" applyNumberFormat="0" applyBorder="0" applyAlignment="0" applyProtection="0"/>
    <xf numFmtId="0" fontId="24" fillId="24" borderId="0" applyNumberFormat="0" applyBorder="0" applyAlignment="0" applyProtection="0"/>
    <xf numFmtId="0" fontId="24" fillId="28" borderId="0" applyNumberFormat="0" applyBorder="0" applyAlignment="0" applyProtection="0"/>
    <xf numFmtId="0" fontId="24" fillId="32" borderId="0" applyNumberFormat="0" applyBorder="0" applyAlignment="0" applyProtection="0"/>
    <xf numFmtId="0" fontId="24" fillId="9" borderId="0" applyNumberFormat="0" applyBorder="0" applyAlignment="0" applyProtection="0"/>
    <xf numFmtId="0" fontId="24" fillId="13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14" fillId="3" borderId="0" applyNumberFormat="0" applyBorder="0" applyAlignment="0" applyProtection="0"/>
    <xf numFmtId="0" fontId="18" fillId="6" borderId="9" applyNumberFormat="0" applyAlignment="0" applyProtection="0"/>
    <xf numFmtId="0" fontId="20" fillId="7" borderId="12" applyNumberFormat="0" applyAlignment="0" applyProtection="0"/>
    <xf numFmtId="0" fontId="22" fillId="0" borderId="0" applyNumberFormat="0" applyFill="0" applyBorder="0" applyAlignment="0" applyProtection="0"/>
    <xf numFmtId="0" fontId="5" fillId="33" borderId="3">
      <alignment horizontal="left"/>
    </xf>
    <xf numFmtId="4" fontId="1" fillId="34" borderId="2"/>
    <xf numFmtId="0" fontId="7" fillId="35" borderId="4" applyNumberFormat="0" applyAlignment="0" applyProtection="0"/>
    <xf numFmtId="0" fontId="3" fillId="0" borderId="0"/>
    <xf numFmtId="0" fontId="6" fillId="34" borderId="5"/>
    <xf numFmtId="0" fontId="13" fillId="2" borderId="0" applyNumberFormat="0" applyBorder="0" applyAlignment="0" applyProtection="0"/>
    <xf numFmtId="0" fontId="10" fillId="0" borderId="6" applyNumberFormat="0" applyFill="0" applyAlignment="0" applyProtection="0"/>
    <xf numFmtId="0" fontId="11" fillId="0" borderId="7" applyNumberFormat="0" applyFill="0" applyAlignment="0" applyProtection="0"/>
    <xf numFmtId="0" fontId="12" fillId="0" borderId="8" applyNumberFormat="0" applyFill="0" applyAlignment="0" applyProtection="0"/>
    <xf numFmtId="0" fontId="12" fillId="0" borderId="0" applyNumberFormat="0" applyFill="0" applyBorder="0" applyAlignment="0" applyProtection="0"/>
    <xf numFmtId="0" fontId="16" fillId="5" borderId="9" applyNumberFormat="0" applyAlignment="0" applyProtection="0"/>
    <xf numFmtId="0" fontId="19" fillId="0" borderId="11" applyNumberFormat="0" applyFill="0" applyAlignment="0" applyProtection="0"/>
    <xf numFmtId="0" fontId="15" fillId="4" borderId="0" applyNumberFormat="0" applyBorder="0" applyAlignment="0" applyProtection="0"/>
    <xf numFmtId="0" fontId="8" fillId="8" borderId="13" applyNumberFormat="0" applyFont="0" applyAlignment="0" applyProtection="0"/>
    <xf numFmtId="0" fontId="17" fillId="6" borderId="10" applyNumberFormat="0" applyAlignment="0" applyProtection="0"/>
    <xf numFmtId="0" fontId="9" fillId="0" borderId="0" applyNumberFormat="0" applyFill="0" applyBorder="0" applyAlignment="0" applyProtection="0"/>
    <xf numFmtId="0" fontId="23" fillId="0" borderId="14" applyNumberFormat="0" applyFill="0" applyAlignment="0" applyProtection="0"/>
    <xf numFmtId="0" fontId="21" fillId="0" borderId="0" applyNumberFormat="0" applyFill="0" applyBorder="0" applyAlignment="0" applyProtection="0"/>
    <xf numFmtId="0" fontId="4" fillId="33" borderId="15" applyNumberFormat="0" applyProtection="0">
      <alignment horizontal="left" vertical="center" readingOrder="1"/>
    </xf>
    <xf numFmtId="0" fontId="5" fillId="33" borderId="1">
      <alignment horizontal="left"/>
    </xf>
    <xf numFmtId="4" fontId="1" fillId="34" borderId="2">
      <alignment horizontal="right"/>
    </xf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6" fillId="0" borderId="0"/>
    <xf numFmtId="0" fontId="47" fillId="33" borderId="0"/>
    <xf numFmtId="0" fontId="48" fillId="34" borderId="0" applyNumberFormat="0" applyBorder="0" applyProtection="0">
      <alignment horizontal="center"/>
    </xf>
    <xf numFmtId="0" fontId="5" fillId="33" borderId="3">
      <alignment horizontal="right"/>
    </xf>
    <xf numFmtId="0" fontId="5" fillId="33" borderId="1">
      <alignment horizontal="right"/>
    </xf>
    <xf numFmtId="0" fontId="49" fillId="34" borderId="5"/>
    <xf numFmtId="164" fontId="49" fillId="34" borderId="2">
      <alignment horizontal="right"/>
    </xf>
    <xf numFmtId="164" fontId="49" fillId="39" borderId="2">
      <alignment horizontal="right"/>
    </xf>
    <xf numFmtId="164" fontId="1" fillId="34" borderId="2">
      <alignment horizontal="right"/>
    </xf>
    <xf numFmtId="164" fontId="1" fillId="39" borderId="2">
      <alignment horizontal="right"/>
    </xf>
    <xf numFmtId="0" fontId="3" fillId="34" borderId="5"/>
    <xf numFmtId="164" fontId="7" fillId="34" borderId="2">
      <alignment horizontal="right"/>
    </xf>
    <xf numFmtId="164" fontId="7" fillId="39" borderId="2">
      <alignment horizontal="right"/>
    </xf>
    <xf numFmtId="3" fontId="49" fillId="34" borderId="2">
      <alignment horizontal="right"/>
    </xf>
    <xf numFmtId="3" fontId="49" fillId="39" borderId="2">
      <alignment horizontal="right"/>
    </xf>
    <xf numFmtId="4" fontId="49" fillId="34" borderId="2">
      <alignment horizontal="right"/>
    </xf>
    <xf numFmtId="4" fontId="49" fillId="39" borderId="2">
      <alignment horizontal="right"/>
    </xf>
    <xf numFmtId="3" fontId="1" fillId="34" borderId="2">
      <alignment horizontal="right"/>
    </xf>
    <xf numFmtId="3" fontId="1" fillId="39" borderId="2">
      <alignment horizontal="right"/>
    </xf>
    <xf numFmtId="4" fontId="1" fillId="39" borderId="2">
      <alignment horizontal="right"/>
    </xf>
  </cellStyleXfs>
  <cellXfs count="231">
    <xf numFmtId="0" fontId="0" fillId="0" borderId="0" xfId="0"/>
    <xf numFmtId="14" fontId="5" fillId="33" borderId="1" xfId="48" applyNumberFormat="1">
      <alignment horizontal="left"/>
    </xf>
    <xf numFmtId="0" fontId="3" fillId="0" borderId="0" xfId="32"/>
    <xf numFmtId="0" fontId="5" fillId="33" borderId="3" xfId="29">
      <alignment horizontal="left"/>
    </xf>
    <xf numFmtId="4" fontId="1" fillId="34" borderId="2" xfId="30"/>
    <xf numFmtId="0" fontId="7" fillId="35" borderId="4" xfId="31"/>
    <xf numFmtId="0" fontId="4" fillId="33" borderId="15" xfId="47">
      <alignment horizontal="left" vertical="center" readingOrder="1"/>
    </xf>
    <xf numFmtId="0" fontId="5" fillId="33" borderId="1" xfId="48">
      <alignment horizontal="left"/>
    </xf>
    <xf numFmtId="0" fontId="2" fillId="34" borderId="5" xfId="33" applyFont="1"/>
    <xf numFmtId="4" fontId="1" fillId="34" borderId="2" xfId="49">
      <alignment horizontal="right"/>
    </xf>
    <xf numFmtId="0" fontId="26" fillId="0" borderId="0" xfId="52"/>
    <xf numFmtId="0" fontId="27" fillId="36" borderId="0" xfId="52" applyFont="1" applyFill="1" applyAlignment="1">
      <alignment horizontal="left"/>
    </xf>
    <xf numFmtId="0" fontId="29" fillId="37" borderId="0" xfId="52" applyFont="1" applyFill="1" applyAlignment="1">
      <alignment horizontal="left"/>
    </xf>
    <xf numFmtId="164" fontId="29" fillId="37" borderId="0" xfId="52" applyNumberFormat="1" applyFont="1" applyFill="1" applyAlignment="1">
      <alignment horizontal="right"/>
    </xf>
    <xf numFmtId="0" fontId="29" fillId="0" borderId="0" xfId="52" applyFont="1" applyAlignment="1">
      <alignment horizontal="left" indent="3"/>
    </xf>
    <xf numFmtId="164" fontId="29" fillId="0" borderId="0" xfId="52" applyNumberFormat="1" applyFont="1" applyAlignment="1">
      <alignment horizontal="right"/>
    </xf>
    <xf numFmtId="0" fontId="26" fillId="0" borderId="0" xfId="52" applyAlignment="1">
      <alignment horizontal="left" indent="4"/>
    </xf>
    <xf numFmtId="0" fontId="26" fillId="37" borderId="0" xfId="52" applyFill="1" applyAlignment="1">
      <alignment horizontal="left" indent="4"/>
    </xf>
    <xf numFmtId="164" fontId="26" fillId="37" borderId="0" xfId="52" applyNumberFormat="1" applyFill="1" applyAlignment="1">
      <alignment horizontal="right"/>
    </xf>
    <xf numFmtId="0" fontId="29" fillId="0" borderId="0" xfId="52" applyFont="1" applyAlignment="1">
      <alignment horizontal="left" indent="6"/>
    </xf>
    <xf numFmtId="0" fontId="26" fillId="0" borderId="0" xfId="52" applyAlignment="1">
      <alignment horizontal="left" indent="7"/>
    </xf>
    <xf numFmtId="0" fontId="26" fillId="37" borderId="0" xfId="52" applyFill="1" applyAlignment="1">
      <alignment horizontal="left" indent="7"/>
    </xf>
    <xf numFmtId="164" fontId="26" fillId="0" borderId="0" xfId="52" applyNumberFormat="1" applyAlignment="1">
      <alignment horizontal="right"/>
    </xf>
    <xf numFmtId="164" fontId="30" fillId="37" borderId="0" xfId="52" applyNumberFormat="1" applyFont="1" applyFill="1" applyAlignment="1">
      <alignment horizontal="right"/>
    </xf>
    <xf numFmtId="0" fontId="29" fillId="37" borderId="0" xfId="52" applyFont="1" applyFill="1" applyAlignment="1">
      <alignment horizontal="left" indent="6"/>
    </xf>
    <xf numFmtId="0" fontId="26" fillId="0" borderId="0" xfId="52" applyAlignment="1">
      <alignment horizontal="left"/>
    </xf>
    <xf numFmtId="0" fontId="26" fillId="37" borderId="0" xfId="52" applyFill="1" applyAlignment="1">
      <alignment horizontal="left"/>
    </xf>
    <xf numFmtId="164" fontId="30" fillId="0" borderId="0" xfId="52" applyNumberFormat="1" applyFont="1" applyAlignment="1">
      <alignment horizontal="right"/>
    </xf>
    <xf numFmtId="0" fontId="26" fillId="0" borderId="0" xfId="52" applyAlignment="1">
      <alignment horizontal="left" indent="1"/>
    </xf>
    <xf numFmtId="0" fontId="26" fillId="37" borderId="0" xfId="52" applyFill="1" applyAlignment="1">
      <alignment horizontal="left" indent="1"/>
    </xf>
    <xf numFmtId="0" fontId="29" fillId="0" borderId="0" xfId="52" applyFont="1" applyAlignment="1">
      <alignment horizontal="left"/>
    </xf>
    <xf numFmtId="4" fontId="30" fillId="37" borderId="0" xfId="52" applyNumberFormat="1" applyFont="1" applyFill="1" applyAlignment="1">
      <alignment horizontal="right"/>
    </xf>
    <xf numFmtId="4" fontId="29" fillId="0" borderId="0" xfId="52" applyNumberFormat="1" applyFont="1" applyAlignment="1">
      <alignment horizontal="right"/>
    </xf>
    <xf numFmtId="4" fontId="26" fillId="37" borderId="0" xfId="52" applyNumberFormat="1" applyFill="1" applyAlignment="1">
      <alignment horizontal="right"/>
    </xf>
    <xf numFmtId="4" fontId="26" fillId="0" borderId="0" xfId="52" applyNumberFormat="1" applyAlignment="1">
      <alignment horizontal="right"/>
    </xf>
    <xf numFmtId="0" fontId="29" fillId="37" borderId="0" xfId="52" applyFont="1" applyFill="1" applyAlignment="1">
      <alignment horizontal="left" indent="3"/>
    </xf>
    <xf numFmtId="4" fontId="29" fillId="37" borderId="0" xfId="52" applyNumberFormat="1" applyFont="1" applyFill="1" applyAlignment="1">
      <alignment horizontal="right"/>
    </xf>
    <xf numFmtId="0" fontId="28" fillId="0" borderId="0" xfId="52" applyFont="1" applyAlignment="1">
      <alignment horizontal="left"/>
    </xf>
    <xf numFmtId="0" fontId="27" fillId="0" borderId="0" xfId="52" applyFont="1"/>
    <xf numFmtId="0" fontId="26" fillId="0" borderId="16" xfId="52" applyBorder="1"/>
    <xf numFmtId="0" fontId="26" fillId="0" borderId="17" xfId="52" applyBorder="1"/>
    <xf numFmtId="0" fontId="31" fillId="0" borderId="0" xfId="0" applyFont="1"/>
    <xf numFmtId="4" fontId="30" fillId="0" borderId="0" xfId="52" applyNumberFormat="1" applyFont="1" applyAlignment="1">
      <alignment horizontal="right"/>
    </xf>
    <xf numFmtId="0" fontId="25" fillId="0" borderId="0" xfId="0" applyFont="1"/>
    <xf numFmtId="0" fontId="25" fillId="0" borderId="18" xfId="0" applyFont="1" applyBorder="1"/>
    <xf numFmtId="17" fontId="31" fillId="0" borderId="18" xfId="0" applyNumberFormat="1" applyFont="1" applyBorder="1" applyAlignment="1">
      <alignment horizontal="center"/>
    </xf>
    <xf numFmtId="4" fontId="0" fillId="0" borderId="0" xfId="0" applyNumberFormat="1"/>
    <xf numFmtId="0" fontId="0" fillId="0" borderId="18" xfId="0" applyBorder="1"/>
    <xf numFmtId="0" fontId="34" fillId="0" borderId="19" xfId="0" applyFont="1" applyBorder="1"/>
    <xf numFmtId="0" fontId="35" fillId="0" borderId="19" xfId="0" applyFont="1" applyBorder="1"/>
    <xf numFmtId="0" fontId="34" fillId="0" borderId="20" xfId="0" applyFont="1" applyBorder="1"/>
    <xf numFmtId="0" fontId="33" fillId="0" borderId="19" xfId="0" applyFont="1" applyBorder="1"/>
    <xf numFmtId="9" fontId="0" fillId="0" borderId="18" xfId="0" applyNumberFormat="1" applyBorder="1"/>
    <xf numFmtId="4" fontId="0" fillId="0" borderId="18" xfId="0" applyNumberFormat="1" applyBorder="1"/>
    <xf numFmtId="2" fontId="0" fillId="0" borderId="18" xfId="0" applyNumberFormat="1" applyBorder="1"/>
    <xf numFmtId="165" fontId="0" fillId="0" borderId="18" xfId="0" applyNumberFormat="1" applyBorder="1"/>
    <xf numFmtId="9" fontId="0" fillId="0" borderId="0" xfId="51" applyFont="1"/>
    <xf numFmtId="165" fontId="36" fillId="0" borderId="18" xfId="0" applyNumberFormat="1" applyFont="1" applyBorder="1"/>
    <xf numFmtId="9" fontId="36" fillId="0" borderId="18" xfId="0" applyNumberFormat="1" applyFont="1" applyBorder="1"/>
    <xf numFmtId="44" fontId="25" fillId="0" borderId="0" xfId="50" applyFont="1" applyBorder="1"/>
    <xf numFmtId="0" fontId="31" fillId="0" borderId="0" xfId="0" applyFont="1" applyAlignment="1">
      <alignment horizontal="center"/>
    </xf>
    <xf numFmtId="17" fontId="31" fillId="0" borderId="0" xfId="0" applyNumberFormat="1" applyFont="1" applyAlignment="1">
      <alignment horizontal="center"/>
    </xf>
    <xf numFmtId="165" fontId="0" fillId="0" borderId="0" xfId="0" applyNumberFormat="1"/>
    <xf numFmtId="9" fontId="0" fillId="0" borderId="0" xfId="51" applyFont="1" applyBorder="1"/>
    <xf numFmtId="9" fontId="0" fillId="0" borderId="18" xfId="51" applyFont="1" applyBorder="1"/>
    <xf numFmtId="9" fontId="36" fillId="0" borderId="0" xfId="0" applyNumberFormat="1" applyFont="1"/>
    <xf numFmtId="2" fontId="0" fillId="0" borderId="0" xfId="0" applyNumberFormat="1"/>
    <xf numFmtId="0" fontId="0" fillId="0" borderId="5" xfId="0" applyBorder="1"/>
    <xf numFmtId="0" fontId="0" fillId="0" borderId="5" xfId="0" applyBorder="1" applyAlignment="1">
      <alignment horizontal="left" indent="1"/>
    </xf>
    <xf numFmtId="0" fontId="0" fillId="0" borderId="5" xfId="0" applyBorder="1" applyAlignment="1">
      <alignment horizontal="left" indent="2"/>
    </xf>
    <xf numFmtId="0" fontId="23" fillId="0" borderId="5" xfId="0" applyFont="1" applyBorder="1"/>
    <xf numFmtId="0" fontId="0" fillId="0" borderId="21" xfId="0" applyBorder="1" applyAlignment="1">
      <alignment horizontal="left" indent="1"/>
    </xf>
    <xf numFmtId="0" fontId="0" fillId="0" borderId="19" xfId="0" applyBorder="1"/>
    <xf numFmtId="0" fontId="0" fillId="0" borderId="20" xfId="0" applyBorder="1"/>
    <xf numFmtId="9" fontId="36" fillId="0" borderId="19" xfId="0" applyNumberFormat="1" applyFont="1" applyBorder="1"/>
    <xf numFmtId="9" fontId="36" fillId="0" borderId="20" xfId="0" applyNumberFormat="1" applyFont="1" applyBorder="1"/>
    <xf numFmtId="169" fontId="0" fillId="0" borderId="18" xfId="50" applyNumberFormat="1" applyFont="1" applyBorder="1"/>
    <xf numFmtId="9" fontId="0" fillId="0" borderId="19" xfId="0" applyNumberFormat="1" applyBorder="1"/>
    <xf numFmtId="9" fontId="0" fillId="0" borderId="20" xfId="0" applyNumberFormat="1" applyBorder="1"/>
    <xf numFmtId="9" fontId="0" fillId="0" borderId="19" xfId="51" applyFont="1" applyBorder="1"/>
    <xf numFmtId="9" fontId="0" fillId="0" borderId="20" xfId="51" applyFont="1" applyBorder="1"/>
    <xf numFmtId="0" fontId="36" fillId="0" borderId="21" xfId="0" applyFont="1" applyBorder="1"/>
    <xf numFmtId="0" fontId="36" fillId="0" borderId="19" xfId="0" applyFont="1" applyBorder="1"/>
    <xf numFmtId="9" fontId="36" fillId="0" borderId="21" xfId="0" applyNumberFormat="1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166" fontId="37" fillId="34" borderId="27" xfId="0" applyNumberFormat="1" applyFont="1" applyFill="1" applyBorder="1" applyAlignment="1">
      <alignment horizontal="left" indent="1"/>
    </xf>
    <xf numFmtId="166" fontId="37" fillId="34" borderId="29" xfId="0" applyNumberFormat="1" applyFont="1" applyFill="1" applyBorder="1" applyAlignment="1">
      <alignment horizontal="left" indent="2"/>
    </xf>
    <xf numFmtId="0" fontId="36" fillId="0" borderId="30" xfId="0" applyFont="1" applyBorder="1"/>
    <xf numFmtId="167" fontId="38" fillId="34" borderId="27" xfId="0" applyNumberFormat="1" applyFont="1" applyFill="1" applyBorder="1" applyAlignment="1">
      <alignment horizontal="left" indent="2"/>
    </xf>
    <xf numFmtId="168" fontId="39" fillId="34" borderId="27" xfId="0" applyNumberFormat="1" applyFont="1" applyFill="1" applyBorder="1" applyAlignment="1">
      <alignment horizontal="left"/>
    </xf>
    <xf numFmtId="168" fontId="37" fillId="34" borderId="29" xfId="0" applyNumberFormat="1" applyFont="1" applyFill="1" applyBorder="1" applyAlignment="1">
      <alignment horizontal="left" indent="1"/>
    </xf>
    <xf numFmtId="166" fontId="39" fillId="34" borderId="27" xfId="0" applyNumberFormat="1" applyFont="1" applyFill="1" applyBorder="1" applyAlignment="1">
      <alignment horizontal="left"/>
    </xf>
    <xf numFmtId="167" fontId="38" fillId="34" borderId="27" xfId="0" applyNumberFormat="1" applyFont="1" applyFill="1" applyBorder="1" applyAlignment="1">
      <alignment horizontal="left" indent="1"/>
    </xf>
    <xf numFmtId="169" fontId="39" fillId="34" borderId="27" xfId="0" applyNumberFormat="1" applyFont="1" applyFill="1" applyBorder="1" applyAlignment="1">
      <alignment horizontal="left"/>
    </xf>
    <xf numFmtId="169" fontId="0" fillId="0" borderId="0" xfId="50" applyNumberFormat="1" applyFont="1" applyBorder="1"/>
    <xf numFmtId="169" fontId="0" fillId="0" borderId="0" xfId="0" applyNumberFormat="1"/>
    <xf numFmtId="169" fontId="0" fillId="0" borderId="28" xfId="0" applyNumberFormat="1" applyBorder="1"/>
    <xf numFmtId="9" fontId="36" fillId="0" borderId="28" xfId="0" applyNumberFormat="1" applyFont="1" applyBorder="1"/>
    <xf numFmtId="2" fontId="0" fillId="0" borderId="28" xfId="0" applyNumberFormat="1" applyBorder="1"/>
    <xf numFmtId="166" fontId="38" fillId="34" borderId="27" xfId="0" applyNumberFormat="1" applyFont="1" applyFill="1" applyBorder="1" applyAlignment="1">
      <alignment horizontal="left" indent="2"/>
    </xf>
    <xf numFmtId="9" fontId="0" fillId="0" borderId="28" xfId="51" applyFont="1" applyBorder="1"/>
    <xf numFmtId="165" fontId="0" fillId="0" borderId="28" xfId="0" applyNumberFormat="1" applyBorder="1"/>
    <xf numFmtId="166" fontId="38" fillId="34" borderId="29" xfId="0" applyNumberFormat="1" applyFont="1" applyFill="1" applyBorder="1" applyAlignment="1">
      <alignment horizontal="left" indent="2"/>
    </xf>
    <xf numFmtId="9" fontId="36" fillId="0" borderId="30" xfId="0" applyNumberFormat="1" applyFont="1" applyBorder="1"/>
    <xf numFmtId="2" fontId="23" fillId="0" borderId="0" xfId="0" applyNumberFormat="1" applyFont="1"/>
    <xf numFmtId="2" fontId="23" fillId="0" borderId="28" xfId="0" applyNumberFormat="1" applyFont="1" applyBorder="1"/>
    <xf numFmtId="167" fontId="37" fillId="34" borderId="27" xfId="0" applyNumberFormat="1" applyFont="1" applyFill="1" applyBorder="1" applyAlignment="1">
      <alignment horizontal="left" indent="1"/>
    </xf>
    <xf numFmtId="9" fontId="0" fillId="0" borderId="0" xfId="0" applyNumberFormat="1"/>
    <xf numFmtId="9" fontId="0" fillId="0" borderId="28" xfId="0" applyNumberFormat="1" applyBorder="1"/>
    <xf numFmtId="167" fontId="37" fillId="34" borderId="29" xfId="0" applyNumberFormat="1" applyFont="1" applyFill="1" applyBorder="1" applyAlignment="1">
      <alignment horizontal="left" indent="1"/>
    </xf>
    <xf numFmtId="9" fontId="0" fillId="0" borderId="30" xfId="0" applyNumberFormat="1" applyBorder="1"/>
    <xf numFmtId="167" fontId="39" fillId="34" borderId="27" xfId="0" applyNumberFormat="1" applyFont="1" applyFill="1" applyBorder="1" applyAlignment="1">
      <alignment horizontal="left"/>
    </xf>
    <xf numFmtId="166" fontId="37" fillId="34" borderId="27" xfId="0" applyNumberFormat="1" applyFont="1" applyFill="1" applyBorder="1" applyAlignment="1">
      <alignment horizontal="left"/>
    </xf>
    <xf numFmtId="166" fontId="0" fillId="34" borderId="27" xfId="0" applyNumberFormat="1" applyFill="1" applyBorder="1" applyAlignment="1">
      <alignment horizontal="left" indent="1"/>
    </xf>
    <xf numFmtId="167" fontId="38" fillId="34" borderId="29" xfId="0" applyNumberFormat="1" applyFont="1" applyFill="1" applyBorder="1" applyAlignment="1">
      <alignment horizontal="left" indent="2"/>
    </xf>
    <xf numFmtId="166" fontId="40" fillId="34" borderId="27" xfId="0" applyNumberFormat="1" applyFont="1" applyFill="1" applyBorder="1" applyAlignment="1">
      <alignment horizontal="left"/>
    </xf>
    <xf numFmtId="165" fontId="23" fillId="0" borderId="0" xfId="0" applyNumberFormat="1" applyFont="1"/>
    <xf numFmtId="165" fontId="23" fillId="0" borderId="28" xfId="0" applyNumberFormat="1" applyFont="1" applyBorder="1"/>
    <xf numFmtId="167" fontId="41" fillId="34" borderId="31" xfId="0" applyNumberFormat="1" applyFont="1" applyFill="1" applyBorder="1" applyAlignment="1">
      <alignment horizontal="left" indent="1"/>
    </xf>
    <xf numFmtId="0" fontId="0" fillId="0" borderId="32" xfId="0" applyBorder="1"/>
    <xf numFmtId="0" fontId="32" fillId="38" borderId="5" xfId="0" applyFont="1" applyFill="1" applyBorder="1"/>
    <xf numFmtId="0" fontId="25" fillId="38" borderId="0" xfId="0" applyFont="1" applyFill="1"/>
    <xf numFmtId="0" fontId="25" fillId="38" borderId="18" xfId="0" applyFont="1" applyFill="1" applyBorder="1"/>
    <xf numFmtId="0" fontId="23" fillId="0" borderId="23" xfId="0" applyFont="1" applyBorder="1"/>
    <xf numFmtId="9" fontId="0" fillId="0" borderId="32" xfId="51" applyFont="1" applyBorder="1"/>
    <xf numFmtId="9" fontId="0" fillId="0" borderId="34" xfId="51" applyFont="1" applyBorder="1"/>
    <xf numFmtId="9" fontId="0" fillId="0" borderId="33" xfId="51" applyFont="1" applyBorder="1"/>
    <xf numFmtId="17" fontId="31" fillId="0" borderId="22" xfId="0" applyNumberFormat="1" applyFont="1" applyBorder="1" applyAlignment="1">
      <alignment horizontal="center"/>
    </xf>
    <xf numFmtId="9" fontId="8" fillId="0" borderId="18" xfId="51" applyFont="1" applyBorder="1"/>
    <xf numFmtId="164" fontId="0" fillId="0" borderId="0" xfId="0" applyNumberFormat="1"/>
    <xf numFmtId="170" fontId="42" fillId="0" borderId="18" xfId="51" applyNumberFormat="1" applyFont="1" applyBorder="1"/>
    <xf numFmtId="170" fontId="8" fillId="0" borderId="18" xfId="51" applyNumberFormat="1" applyFont="1" applyBorder="1"/>
    <xf numFmtId="170" fontId="0" fillId="0" borderId="18" xfId="51" applyNumberFormat="1" applyFont="1" applyBorder="1"/>
    <xf numFmtId="164" fontId="0" fillId="0" borderId="18" xfId="0" applyNumberFormat="1" applyBorder="1"/>
    <xf numFmtId="0" fontId="32" fillId="38" borderId="23" xfId="0" applyFont="1" applyFill="1" applyBorder="1"/>
    <xf numFmtId="0" fontId="25" fillId="38" borderId="24" xfId="0" applyFont="1" applyFill="1" applyBorder="1"/>
    <xf numFmtId="0" fontId="25" fillId="38" borderId="25" xfId="0" applyFont="1" applyFill="1" applyBorder="1"/>
    <xf numFmtId="0" fontId="25" fillId="38" borderId="26" xfId="0" applyFont="1" applyFill="1" applyBorder="1"/>
    <xf numFmtId="170" fontId="0" fillId="0" borderId="0" xfId="51" applyNumberFormat="1" applyFont="1" applyBorder="1"/>
    <xf numFmtId="170" fontId="0" fillId="0" borderId="28" xfId="51" applyNumberFormat="1" applyFont="1" applyBorder="1"/>
    <xf numFmtId="0" fontId="42" fillId="0" borderId="27" xfId="0" applyFont="1" applyBorder="1" applyAlignment="1">
      <alignment horizontal="left" indent="1"/>
    </xf>
    <xf numFmtId="0" fontId="42" fillId="0" borderId="0" xfId="0" applyFont="1"/>
    <xf numFmtId="170" fontId="42" fillId="0" borderId="0" xfId="51" applyNumberFormat="1" applyFont="1" applyBorder="1"/>
    <xf numFmtId="170" fontId="43" fillId="0" borderId="0" xfId="0" applyNumberFormat="1" applyFont="1"/>
    <xf numFmtId="170" fontId="43" fillId="0" borderId="28" xfId="0" applyNumberFormat="1" applyFont="1" applyBorder="1"/>
    <xf numFmtId="0" fontId="2" fillId="34" borderId="27" xfId="33" applyFont="1" applyBorder="1"/>
    <xf numFmtId="0" fontId="2" fillId="34" borderId="27" xfId="33" applyFont="1" applyBorder="1" applyAlignment="1">
      <alignment horizontal="left" indent="3"/>
    </xf>
    <xf numFmtId="170" fontId="8" fillId="0" borderId="0" xfId="51" applyNumberFormat="1" applyFont="1" applyBorder="1"/>
    <xf numFmtId="9" fontId="8" fillId="0" borderId="0" xfId="51" applyFont="1" applyBorder="1"/>
    <xf numFmtId="0" fontId="26" fillId="34" borderId="27" xfId="33" applyFont="1" applyBorder="1"/>
    <xf numFmtId="0" fontId="3" fillId="34" borderId="27" xfId="33" applyFont="1" applyBorder="1" applyAlignment="1">
      <alignment horizontal="left" indent="3"/>
    </xf>
    <xf numFmtId="0" fontId="0" fillId="0" borderId="27" xfId="0" applyBorder="1" applyAlignment="1">
      <alignment horizontal="left" indent="1"/>
    </xf>
    <xf numFmtId="170" fontId="0" fillId="0" borderId="0" xfId="0" applyNumberFormat="1"/>
    <xf numFmtId="0" fontId="2" fillId="34" borderId="27" xfId="33" applyFont="1" applyBorder="1" applyAlignment="1">
      <alignment horizontal="left" indent="1"/>
    </xf>
    <xf numFmtId="9" fontId="43" fillId="0" borderId="0" xfId="51" applyFont="1" applyBorder="1"/>
    <xf numFmtId="9" fontId="43" fillId="0" borderId="28" xfId="51" applyFont="1" applyBorder="1"/>
    <xf numFmtId="0" fontId="0" fillId="0" borderId="31" xfId="0" applyBorder="1" applyAlignment="1">
      <alignment horizontal="left" indent="1"/>
    </xf>
    <xf numFmtId="9" fontId="23" fillId="0" borderId="0" xfId="51" applyFont="1" applyFill="1" applyBorder="1"/>
    <xf numFmtId="0" fontId="47" fillId="33" borderId="0" xfId="53"/>
    <xf numFmtId="0" fontId="48" fillId="34" borderId="0" xfId="54">
      <alignment horizontal="center"/>
    </xf>
    <xf numFmtId="0" fontId="5" fillId="33" borderId="3" xfId="55">
      <alignment horizontal="right"/>
    </xf>
    <xf numFmtId="0" fontId="5" fillId="33" borderId="1" xfId="56">
      <alignment horizontal="right"/>
    </xf>
    <xf numFmtId="0" fontId="49" fillId="34" borderId="5" xfId="57"/>
    <xf numFmtId="164" fontId="49" fillId="34" borderId="2" xfId="58">
      <alignment horizontal="right"/>
    </xf>
    <xf numFmtId="164" fontId="49" fillId="39" borderId="2" xfId="59">
      <alignment horizontal="right"/>
    </xf>
    <xf numFmtId="164" fontId="1" fillId="34" borderId="2" xfId="60">
      <alignment horizontal="right"/>
    </xf>
    <xf numFmtId="164" fontId="1" fillId="39" borderId="2" xfId="61">
      <alignment horizontal="right"/>
    </xf>
    <xf numFmtId="0" fontId="3" fillId="34" borderId="5" xfId="62"/>
    <xf numFmtId="164" fontId="7" fillId="34" borderId="2" xfId="63">
      <alignment horizontal="right"/>
    </xf>
    <xf numFmtId="164" fontId="7" fillId="39" borderId="2" xfId="64">
      <alignment horizontal="right"/>
    </xf>
    <xf numFmtId="3" fontId="49" fillId="34" borderId="2" xfId="65">
      <alignment horizontal="right"/>
    </xf>
    <xf numFmtId="3" fontId="49" fillId="39" borderId="2" xfId="66">
      <alignment horizontal="right"/>
    </xf>
    <xf numFmtId="4" fontId="49" fillId="34" borderId="2" xfId="67">
      <alignment horizontal="right"/>
    </xf>
    <xf numFmtId="4" fontId="49" fillId="39" borderId="2" xfId="68">
      <alignment horizontal="right"/>
    </xf>
    <xf numFmtId="3" fontId="1" fillId="34" borderId="2" xfId="69">
      <alignment horizontal="right"/>
    </xf>
    <xf numFmtId="3" fontId="1" fillId="39" borderId="2" xfId="70">
      <alignment horizontal="right"/>
    </xf>
    <xf numFmtId="4" fontId="1" fillId="39" borderId="2" xfId="71">
      <alignment horizontal="right"/>
    </xf>
    <xf numFmtId="1" fontId="0" fillId="0" borderId="18" xfId="0" applyNumberFormat="1" applyBorder="1"/>
    <xf numFmtId="0" fontId="46" fillId="39" borderId="0" xfId="0" applyFont="1" applyFill="1" applyAlignment="1">
      <alignment wrapText="1"/>
    </xf>
    <xf numFmtId="165" fontId="46" fillId="39" borderId="0" xfId="0" applyNumberFormat="1" applyFont="1" applyFill="1" applyAlignment="1">
      <alignment wrapText="1"/>
    </xf>
    <xf numFmtId="0" fontId="46" fillId="39" borderId="18" xfId="0" applyFont="1" applyFill="1" applyBorder="1" applyAlignment="1">
      <alignment wrapText="1"/>
    </xf>
    <xf numFmtId="0" fontId="44" fillId="0" borderId="23" xfId="0" applyFont="1" applyBorder="1" applyAlignment="1">
      <alignment wrapText="1"/>
    </xf>
    <xf numFmtId="4" fontId="0" fillId="0" borderId="24" xfId="0" applyNumberFormat="1" applyBorder="1"/>
    <xf numFmtId="4" fontId="0" fillId="0" borderId="25" xfId="0" applyNumberFormat="1" applyBorder="1"/>
    <xf numFmtId="165" fontId="0" fillId="0" borderId="24" xfId="0" applyNumberFormat="1" applyBorder="1"/>
    <xf numFmtId="165" fontId="0" fillId="0" borderId="26" xfId="0" applyNumberFormat="1" applyBorder="1"/>
    <xf numFmtId="0" fontId="45" fillId="0" borderId="27" xfId="0" applyFont="1" applyBorder="1" applyAlignment="1">
      <alignment wrapText="1"/>
    </xf>
    <xf numFmtId="1" fontId="0" fillId="0" borderId="0" xfId="0" applyNumberFormat="1"/>
    <xf numFmtId="1" fontId="0" fillId="0" borderId="28" xfId="0" applyNumberFormat="1" applyBorder="1"/>
    <xf numFmtId="0" fontId="0" fillId="0" borderId="27" xfId="0" applyBorder="1" applyAlignment="1">
      <alignment wrapText="1"/>
    </xf>
    <xf numFmtId="0" fontId="44" fillId="0" borderId="27" xfId="0" applyFont="1" applyBorder="1" applyAlignment="1">
      <alignment wrapText="1"/>
    </xf>
    <xf numFmtId="0" fontId="46" fillId="39" borderId="27" xfId="0" applyFont="1" applyFill="1" applyBorder="1" applyAlignment="1">
      <alignment wrapText="1"/>
    </xf>
    <xf numFmtId="0" fontId="46" fillId="39" borderId="28" xfId="0" applyFont="1" applyFill="1" applyBorder="1" applyAlignment="1">
      <alignment wrapText="1"/>
    </xf>
    <xf numFmtId="164" fontId="0" fillId="0" borderId="28" xfId="0" applyNumberFormat="1" applyBorder="1"/>
    <xf numFmtId="0" fontId="45" fillId="0" borderId="31" xfId="0" applyFont="1" applyBorder="1" applyAlignment="1">
      <alignment wrapText="1"/>
    </xf>
    <xf numFmtId="164" fontId="0" fillId="0" borderId="32" xfId="0" applyNumberFormat="1" applyBorder="1"/>
    <xf numFmtId="164" fontId="0" fillId="0" borderId="33" xfId="0" applyNumberFormat="1" applyBorder="1"/>
    <xf numFmtId="164" fontId="0" fillId="0" borderId="34" xfId="0" applyNumberFormat="1" applyBorder="1"/>
    <xf numFmtId="0" fontId="0" fillId="0" borderId="23" xfId="0" applyBorder="1"/>
    <xf numFmtId="0" fontId="0" fillId="0" borderId="31" xfId="0" applyBorder="1"/>
    <xf numFmtId="9" fontId="0" fillId="0" borderId="32" xfId="0" applyNumberFormat="1" applyBorder="1"/>
    <xf numFmtId="9" fontId="0" fillId="0" borderId="34" xfId="0" applyNumberFormat="1" applyBorder="1"/>
    <xf numFmtId="165" fontId="0" fillId="0" borderId="25" xfId="0" applyNumberFormat="1" applyBorder="1"/>
    <xf numFmtId="0" fontId="32" fillId="38" borderId="35" xfId="0" applyFont="1" applyFill="1" applyBorder="1"/>
    <xf numFmtId="171" fontId="26" fillId="37" borderId="0" xfId="52" applyNumberFormat="1" applyFill="1" applyAlignment="1">
      <alignment horizontal="right"/>
    </xf>
    <xf numFmtId="171" fontId="26" fillId="0" borderId="0" xfId="52" applyNumberFormat="1" applyAlignment="1">
      <alignment horizontal="right"/>
    </xf>
    <xf numFmtId="172" fontId="0" fillId="0" borderId="0" xfId="0" applyNumberFormat="1"/>
    <xf numFmtId="2" fontId="26" fillId="37" borderId="0" xfId="52" applyNumberFormat="1" applyFill="1" applyAlignment="1">
      <alignment horizontal="right"/>
    </xf>
    <xf numFmtId="2" fontId="26" fillId="0" borderId="0" xfId="52" applyNumberFormat="1" applyAlignment="1">
      <alignment horizontal="right"/>
    </xf>
    <xf numFmtId="0" fontId="32" fillId="38" borderId="36" xfId="0" applyFont="1" applyFill="1" applyBorder="1"/>
    <xf numFmtId="10" fontId="0" fillId="0" borderId="28" xfId="0" applyNumberFormat="1" applyBorder="1"/>
    <xf numFmtId="10" fontId="0" fillId="0" borderId="34" xfId="0" applyNumberFormat="1" applyBorder="1"/>
    <xf numFmtId="8" fontId="0" fillId="0" borderId="0" xfId="0" applyNumberFormat="1"/>
    <xf numFmtId="0" fontId="24" fillId="38" borderId="23" xfId="0" applyFont="1" applyFill="1" applyBorder="1"/>
    <xf numFmtId="0" fontId="24" fillId="38" borderId="26" xfId="0" applyFont="1" applyFill="1" applyBorder="1"/>
    <xf numFmtId="0" fontId="36" fillId="0" borderId="28" xfId="0" applyFont="1" applyBorder="1" applyAlignment="1">
      <alignment horizontal="left" indent="2"/>
    </xf>
    <xf numFmtId="0" fontId="23" fillId="0" borderId="31" xfId="0" applyFont="1" applyBorder="1"/>
    <xf numFmtId="0" fontId="23" fillId="0" borderId="32" xfId="0" applyFont="1" applyBorder="1"/>
    <xf numFmtId="165" fontId="23" fillId="0" borderId="32" xfId="0" applyNumberFormat="1" applyFont="1" applyBorder="1"/>
    <xf numFmtId="165" fontId="23" fillId="0" borderId="33" xfId="0" applyNumberFormat="1" applyFont="1" applyBorder="1"/>
    <xf numFmtId="165" fontId="23" fillId="0" borderId="34" xfId="0" applyNumberFormat="1" applyFont="1" applyBorder="1"/>
    <xf numFmtId="10" fontId="23" fillId="0" borderId="34" xfId="51" applyNumberFormat="1" applyFont="1" applyBorder="1"/>
    <xf numFmtId="44" fontId="0" fillId="0" borderId="0" xfId="0" applyNumberFormat="1"/>
    <xf numFmtId="9" fontId="0" fillId="0" borderId="0" xfId="51" applyFont="1" applyFill="1" applyBorder="1"/>
    <xf numFmtId="173" fontId="0" fillId="0" borderId="0" xfId="0" applyNumberFormat="1"/>
    <xf numFmtId="0" fontId="23" fillId="0" borderId="27" xfId="0" applyFont="1" applyBorder="1"/>
    <xf numFmtId="10" fontId="0" fillId="0" borderId="0" xfId="0" applyNumberFormat="1"/>
  </cellXfs>
  <cellStyles count="7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53" xr:uid="{74C609A9-C604-4376-A151-F890D1EE9AA1}"/>
    <cellStyle name="blp_title_header_row_left" xfId="47" xr:uid="{00000000-0005-0000-0000-000019000000}"/>
    <cellStyle name="Calculation" xfId="26" builtinId="22" customBuiltin="1"/>
    <cellStyle name="Check Cell" xfId="27" builtinId="23" customBuiltin="1"/>
    <cellStyle name="Currency" xfId="50" builtinId="4"/>
    <cellStyle name="Explanatory Text" xfId="28" builtinId="53" customBuiltin="1"/>
    <cellStyle name="fa_column_header_bottom" xfId="56" xr:uid="{98082CFC-18C6-4F46-823D-290D2046A74C}"/>
    <cellStyle name="fa_column_header_bottom_left" xfId="48" xr:uid="{00000000-0005-0000-0000-00001D000000}"/>
    <cellStyle name="fa_column_header_empty" xfId="54" xr:uid="{DF6C6104-99A2-47B2-BA7F-45B88664F417}"/>
    <cellStyle name="fa_column_header_top" xfId="55" xr:uid="{955D8C92-3791-48D5-A6EF-9E7C3116F09C}"/>
    <cellStyle name="fa_column_header_top_left" xfId="29" xr:uid="{00000000-0005-0000-0000-00001E000000}"/>
    <cellStyle name="fa_data_bold_0_grouped" xfId="65" xr:uid="{DD0B60CF-9551-4F6E-9B37-97E07594F762}"/>
    <cellStyle name="fa_data_bold_1_grouped" xfId="58" xr:uid="{7BB560FC-B1C8-4307-9419-4817570EDBA1}"/>
    <cellStyle name="fa_data_bold_2_grouped" xfId="67" xr:uid="{2ECDC45D-F668-4787-9048-0491A5F44565}"/>
    <cellStyle name="fa_data_current_bold_0_grouped" xfId="66" xr:uid="{DD523B74-05F4-46A0-BEA6-5D7E5CBFFF44}"/>
    <cellStyle name="fa_data_current_bold_1_grouped" xfId="59" xr:uid="{BFB41086-FE3F-438A-A16B-0EA1163F225A}"/>
    <cellStyle name="fa_data_current_bold_2_grouped" xfId="68" xr:uid="{ADBAD4A5-1202-45E8-ADC7-C2072B5D2EC3}"/>
    <cellStyle name="fa_data_current_italic_1_grouped" xfId="64" xr:uid="{4D813867-8301-4559-AD40-D2D1293298EF}"/>
    <cellStyle name="fa_data_current_standard_0_grouped" xfId="70" xr:uid="{E13C892D-B182-4BBD-9366-A34DEFBE8337}"/>
    <cellStyle name="fa_data_current_standard_1_grouped" xfId="61" xr:uid="{4DCFE571-BD15-415B-802F-BD8F88681B7C}"/>
    <cellStyle name="fa_data_current_standard_2_grouped" xfId="71" xr:uid="{2D0E5AAC-6E69-4BC6-B201-79C428482CEA}"/>
    <cellStyle name="fa_data_italic_1_grouped" xfId="63" xr:uid="{BA3715F0-9E72-4BA2-B26D-84530EC50BCC}"/>
    <cellStyle name="fa_data_standard" xfId="30" xr:uid="{00000000-0005-0000-0000-00001F000000}"/>
    <cellStyle name="fa_data_standard_0_grouped" xfId="69" xr:uid="{FA42EF4B-9218-4DD8-BA58-B3C2479D19F6}"/>
    <cellStyle name="fa_data_standard_1_grouped" xfId="60" xr:uid="{06EBF154-EE11-4803-986B-283D2B3887B5}"/>
    <cellStyle name="fa_data_standard_2_grouped" xfId="49" xr:uid="{00000000-0005-0000-0000-000020000000}"/>
    <cellStyle name="fa_footer_italic" xfId="31" xr:uid="{00000000-0005-0000-0000-000021000000}"/>
    <cellStyle name="fa_grey_text_italics" xfId="32" xr:uid="{00000000-0005-0000-0000-000022000000}"/>
    <cellStyle name="fa_row_header_bold" xfId="57" xr:uid="{5831D075-279E-412F-9C94-587DF21B6878}"/>
    <cellStyle name="fa_row_header_italic" xfId="62" xr:uid="{A4FC2111-54AC-4F7F-826A-B274C20A8EEB}"/>
    <cellStyle name="fa_row_header_standard" xfId="33" xr:uid="{00000000-0005-0000-0000-000023000000}"/>
    <cellStyle name="Good" xfId="34" builtinId="26" customBuiltin="1"/>
    <cellStyle name="Heading 1" xfId="35" builtinId="16" customBuiltin="1"/>
    <cellStyle name="Heading 2" xfId="36" builtinId="17" customBuiltin="1"/>
    <cellStyle name="Heading 3" xfId="37" builtinId="18" customBuiltin="1"/>
    <cellStyle name="Heading 4" xfId="38" builtinId="19" customBuiltin="1"/>
    <cellStyle name="Input" xfId="39" builtinId="20" customBuiltin="1"/>
    <cellStyle name="Linked Cell" xfId="40" builtinId="24" customBuiltin="1"/>
    <cellStyle name="Neutral" xfId="41" builtinId="28" customBuiltin="1"/>
    <cellStyle name="Normal" xfId="0" builtinId="0"/>
    <cellStyle name="Normal 2" xfId="52" xr:uid="{02B54501-ED99-4B97-9046-426555B8FE20}"/>
    <cellStyle name="Note" xfId="42" builtinId="10" customBuiltin="1"/>
    <cellStyle name="Output" xfId="43" builtinId="21" customBuiltin="1"/>
    <cellStyle name="Percent" xfId="51" builtinId="5"/>
    <cellStyle name="Title" xfId="44" builtinId="15" customBuiltin="1"/>
    <cellStyle name="Total" xfId="45" builtinId="25" customBuiltin="1"/>
    <cellStyle name="Warning Text" xfId="4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C777-2B7E-4984-B426-B99A2FCB81CE}">
  <dimension ref="B1:S101"/>
  <sheetViews>
    <sheetView showGridLines="0" zoomScale="85" zoomScaleNormal="85" workbookViewId="0">
      <selection activeCell="N10" sqref="N10"/>
    </sheetView>
  </sheetViews>
  <sheetFormatPr defaultRowHeight="14.4" x14ac:dyDescent="0.3"/>
  <cols>
    <col min="2" max="2" width="58.5546875" customWidth="1"/>
    <col min="7" max="9" width="12.5546875" bestFit="1" customWidth="1"/>
    <col min="10" max="10" width="13.109375" customWidth="1"/>
    <col min="11" max="14" width="11.5546875" bestFit="1" customWidth="1"/>
    <col min="16" max="16" width="16.88671875" hidden="1" customWidth="1"/>
  </cols>
  <sheetData>
    <row r="1" spans="2:14" x14ac:dyDescent="0.3">
      <c r="I1" s="47"/>
    </row>
    <row r="2" spans="2:14" x14ac:dyDescent="0.3">
      <c r="I2" s="47"/>
    </row>
    <row r="3" spans="2:14" x14ac:dyDescent="0.3">
      <c r="B3" s="41" t="s">
        <v>650</v>
      </c>
      <c r="C3" s="43"/>
      <c r="D3" s="43"/>
      <c r="E3" s="43"/>
      <c r="F3" s="43"/>
      <c r="G3" s="43"/>
      <c r="H3" s="43"/>
      <c r="I3" s="44"/>
      <c r="J3" s="43"/>
      <c r="K3" s="43"/>
      <c r="L3" s="43"/>
      <c r="M3" s="43"/>
      <c r="N3" s="43"/>
    </row>
    <row r="4" spans="2:14" x14ac:dyDescent="0.3">
      <c r="B4" s="43" t="s">
        <v>651</v>
      </c>
      <c r="C4" s="48"/>
      <c r="D4" s="48"/>
      <c r="E4" s="48"/>
      <c r="F4" s="51" t="s">
        <v>626</v>
      </c>
      <c r="G4" s="49"/>
      <c r="H4" s="48"/>
      <c r="I4" s="50"/>
      <c r="J4" s="48"/>
      <c r="K4" s="48"/>
      <c r="L4" s="51" t="s">
        <v>612</v>
      </c>
      <c r="M4" s="48"/>
      <c r="N4" s="48"/>
    </row>
    <row r="5" spans="2:14" x14ac:dyDescent="0.3">
      <c r="B5" s="43"/>
      <c r="C5" s="60" t="s">
        <v>613</v>
      </c>
      <c r="D5" s="61" t="s">
        <v>619</v>
      </c>
      <c r="E5" s="61" t="s">
        <v>620</v>
      </c>
      <c r="F5" s="61" t="s">
        <v>621</v>
      </c>
      <c r="G5" s="61" t="s">
        <v>622</v>
      </c>
      <c r="H5" s="61" t="s">
        <v>623</v>
      </c>
      <c r="I5" s="45" t="s">
        <v>624</v>
      </c>
      <c r="J5" s="61" t="s">
        <v>614</v>
      </c>
      <c r="K5" s="61" t="s">
        <v>615</v>
      </c>
      <c r="L5" s="61" t="s">
        <v>616</v>
      </c>
      <c r="M5" s="61" t="s">
        <v>617</v>
      </c>
      <c r="N5" s="61" t="s">
        <v>625</v>
      </c>
    </row>
    <row r="6" spans="2:14" ht="15" thickBot="1" x14ac:dyDescent="0.35">
      <c r="B6" s="43"/>
      <c r="C6" s="60"/>
      <c r="D6" s="61"/>
      <c r="E6" s="61"/>
      <c r="F6" s="61"/>
      <c r="G6" s="61"/>
      <c r="H6" s="61"/>
      <c r="I6" s="45"/>
      <c r="J6" s="61"/>
      <c r="K6" s="61"/>
      <c r="L6" s="61"/>
      <c r="M6" s="61"/>
      <c r="N6" s="61"/>
    </row>
    <row r="7" spans="2:14" x14ac:dyDescent="0.3">
      <c r="B7" s="127" t="s">
        <v>687</v>
      </c>
      <c r="C7" s="84"/>
      <c r="D7" s="84"/>
      <c r="E7" s="84"/>
      <c r="F7" s="84"/>
      <c r="G7" s="84"/>
      <c r="H7" s="84"/>
      <c r="I7" s="85"/>
      <c r="J7" s="84"/>
      <c r="K7" s="84"/>
      <c r="L7" s="84"/>
      <c r="M7" s="84"/>
      <c r="N7" s="86"/>
    </row>
    <row r="8" spans="2:14" x14ac:dyDescent="0.3">
      <c r="B8" s="87"/>
      <c r="I8" s="47"/>
      <c r="N8" s="88"/>
    </row>
    <row r="9" spans="2:14" x14ac:dyDescent="0.3">
      <c r="B9" s="89" t="s">
        <v>653</v>
      </c>
      <c r="D9">
        <v>64</v>
      </c>
      <c r="E9">
        <f>D11</f>
        <v>255</v>
      </c>
      <c r="F9">
        <f t="shared" ref="F9" si="0">E11</f>
        <v>452</v>
      </c>
      <c r="G9">
        <f t="shared" ref="G9" si="1">F11</f>
        <v>806</v>
      </c>
      <c r="H9">
        <f t="shared" ref="H9" si="2">G11</f>
        <v>1237</v>
      </c>
      <c r="I9" s="47">
        <f t="shared" ref="I9" si="3">H11</f>
        <v>1848</v>
      </c>
      <c r="J9">
        <f>I11</f>
        <v>2484</v>
      </c>
      <c r="K9">
        <f t="shared" ref="K9" si="4">J11</f>
        <v>3200</v>
      </c>
      <c r="L9">
        <f t="shared" ref="L9" si="5">K11</f>
        <v>3959</v>
      </c>
      <c r="M9">
        <f t="shared" ref="M9" si="6">L11</f>
        <v>4783</v>
      </c>
      <c r="N9" s="88">
        <f t="shared" ref="N9" si="7">M11</f>
        <v>5583</v>
      </c>
    </row>
    <row r="10" spans="2:14" x14ac:dyDescent="0.3">
      <c r="B10" s="90" t="s">
        <v>654</v>
      </c>
      <c r="C10" s="72"/>
      <c r="D10" s="72">
        <v>191</v>
      </c>
      <c r="E10" s="72">
        <v>197</v>
      </c>
      <c r="F10" s="72">
        <v>354</v>
      </c>
      <c r="G10" s="72">
        <v>431</v>
      </c>
      <c r="H10" s="72">
        <v>611</v>
      </c>
      <c r="I10" s="73">
        <v>636</v>
      </c>
      <c r="J10" s="81">
        <v>716</v>
      </c>
      <c r="K10" s="82">
        <v>759</v>
      </c>
      <c r="L10" s="82">
        <v>824</v>
      </c>
      <c r="M10" s="82">
        <v>800</v>
      </c>
      <c r="N10" s="91">
        <v>750</v>
      </c>
    </row>
    <row r="11" spans="2:14" x14ac:dyDescent="0.3">
      <c r="B11" s="89" t="s">
        <v>655</v>
      </c>
      <c r="D11">
        <f>D9+D10</f>
        <v>255</v>
      </c>
      <c r="E11">
        <f t="shared" ref="E11:I11" si="8">E9+E10</f>
        <v>452</v>
      </c>
      <c r="F11">
        <f t="shared" si="8"/>
        <v>806</v>
      </c>
      <c r="G11">
        <f t="shared" si="8"/>
        <v>1237</v>
      </c>
      <c r="H11">
        <f t="shared" si="8"/>
        <v>1848</v>
      </c>
      <c r="I11" s="47">
        <f t="shared" si="8"/>
        <v>2484</v>
      </c>
      <c r="J11">
        <f>J9+J10</f>
        <v>3200</v>
      </c>
      <c r="K11">
        <f t="shared" ref="K11:N11" si="9">K9+K10</f>
        <v>3959</v>
      </c>
      <c r="L11">
        <f t="shared" si="9"/>
        <v>4783</v>
      </c>
      <c r="M11">
        <f t="shared" si="9"/>
        <v>5583</v>
      </c>
      <c r="N11" s="88">
        <f t="shared" si="9"/>
        <v>6333</v>
      </c>
    </row>
    <row r="12" spans="2:14" x14ac:dyDescent="0.3">
      <c r="B12" s="92" t="s">
        <v>656</v>
      </c>
      <c r="E12" s="63">
        <f>E11/D11-1</f>
        <v>0.77254901960784306</v>
      </c>
      <c r="F12" s="63">
        <f t="shared" ref="F12" si="10">F11/E11-1</f>
        <v>0.7831858407079646</v>
      </c>
      <c r="G12" s="63">
        <f t="shared" ref="G12" si="11">G11/F11-1</f>
        <v>0.53473945409429291</v>
      </c>
      <c r="H12" s="63">
        <f t="shared" ref="H12" si="12">H11/G11-1</f>
        <v>0.49393694421988688</v>
      </c>
      <c r="I12" s="64">
        <f t="shared" ref="I12" si="13">I11/H11-1</f>
        <v>0.3441558441558441</v>
      </c>
      <c r="J12" s="64">
        <f t="shared" ref="J12" si="14">J11/I11-1</f>
        <v>0.28824476650563602</v>
      </c>
      <c r="K12" s="64">
        <f t="shared" ref="K12" si="15">K11/J11-1</f>
        <v>0.23718750000000011</v>
      </c>
      <c r="L12" s="64">
        <f t="shared" ref="L12" si="16">L11/K11-1</f>
        <v>0.20813336701187168</v>
      </c>
      <c r="M12" s="64">
        <f t="shared" ref="M12" si="17">M11/L11-1</f>
        <v>0.16725904244198198</v>
      </c>
      <c r="N12" s="64">
        <f t="shared" ref="N12" si="18">N11/M11-1</f>
        <v>0.13433637829124123</v>
      </c>
    </row>
    <row r="13" spans="2:14" x14ac:dyDescent="0.3">
      <c r="B13" s="92"/>
      <c r="I13" s="47"/>
      <c r="N13" s="88"/>
    </row>
    <row r="14" spans="2:14" x14ac:dyDescent="0.3">
      <c r="B14" s="89" t="s">
        <v>657</v>
      </c>
      <c r="G14">
        <v>13694</v>
      </c>
      <c r="H14">
        <f>G16</f>
        <v>18063</v>
      </c>
      <c r="I14" s="47">
        <v>14652</v>
      </c>
      <c r="J14">
        <f>I16</f>
        <v>17516</v>
      </c>
      <c r="K14">
        <f t="shared" ref="K14" si="19">J16</f>
        <v>20229</v>
      </c>
      <c r="L14">
        <f t="shared" ref="L14" si="20">K16</f>
        <v>22629</v>
      </c>
      <c r="M14">
        <f t="shared" ref="M14" si="21">L16</f>
        <v>24929</v>
      </c>
      <c r="N14" s="88">
        <f t="shared" ref="N14" si="22">M16</f>
        <v>27129</v>
      </c>
    </row>
    <row r="15" spans="2:14" x14ac:dyDescent="0.3">
      <c r="B15" s="90" t="s">
        <v>685</v>
      </c>
      <c r="C15" s="72"/>
      <c r="D15" s="72"/>
      <c r="E15" s="72"/>
      <c r="F15" s="72"/>
      <c r="G15" s="72">
        <v>4369</v>
      </c>
      <c r="H15" s="72">
        <v>4489</v>
      </c>
      <c r="I15" s="73">
        <v>2864</v>
      </c>
      <c r="J15" s="81">
        <v>2713</v>
      </c>
      <c r="K15" s="82">
        <v>2400</v>
      </c>
      <c r="L15" s="82">
        <v>2300</v>
      </c>
      <c r="M15" s="82">
        <v>2200</v>
      </c>
      <c r="N15" s="91">
        <v>2100</v>
      </c>
    </row>
    <row r="16" spans="2:14" x14ac:dyDescent="0.3">
      <c r="B16" s="89" t="s">
        <v>658</v>
      </c>
      <c r="G16">
        <f>G14+G15</f>
        <v>18063</v>
      </c>
      <c r="H16">
        <f t="shared" ref="H16:I16" si="23">H14+H15</f>
        <v>22552</v>
      </c>
      <c r="I16" s="47">
        <f t="shared" si="23"/>
        <v>17516</v>
      </c>
      <c r="J16">
        <f>J14+J15</f>
        <v>20229</v>
      </c>
      <c r="K16">
        <f t="shared" ref="K16:N16" si="24">K14+K15</f>
        <v>22629</v>
      </c>
      <c r="L16">
        <f t="shared" si="24"/>
        <v>24929</v>
      </c>
      <c r="M16">
        <f t="shared" si="24"/>
        <v>27129</v>
      </c>
      <c r="N16" s="88">
        <f t="shared" si="24"/>
        <v>29229</v>
      </c>
    </row>
    <row r="17" spans="2:17" x14ac:dyDescent="0.3">
      <c r="B17" s="92" t="s">
        <v>659</v>
      </c>
      <c r="H17" s="230">
        <f>H16/G16-1</f>
        <v>0.24851907213641145</v>
      </c>
      <c r="I17" s="230">
        <f t="shared" ref="I17:N17" si="25">I16/H16-1</f>
        <v>-0.22330613692798862</v>
      </c>
      <c r="J17" s="230">
        <f t="shared" si="25"/>
        <v>0.15488696049326323</v>
      </c>
      <c r="K17" s="230">
        <f t="shared" si="25"/>
        <v>0.11864155420436018</v>
      </c>
      <c r="L17" s="230">
        <f t="shared" si="25"/>
        <v>0.10163948915108922</v>
      </c>
      <c r="M17" s="230">
        <f t="shared" si="25"/>
        <v>8.8250631794295709E-2</v>
      </c>
      <c r="N17" s="230">
        <f t="shared" si="25"/>
        <v>7.7407939842972562E-2</v>
      </c>
    </row>
    <row r="18" spans="2:17" hidden="1" x14ac:dyDescent="0.3">
      <c r="B18" s="92"/>
      <c r="I18" s="47"/>
      <c r="N18" s="88"/>
    </row>
    <row r="19" spans="2:17" hidden="1" x14ac:dyDescent="0.3">
      <c r="B19" s="93" t="s">
        <v>660</v>
      </c>
      <c r="G19">
        <v>14500</v>
      </c>
      <c r="H19">
        <f>G21</f>
        <v>19300</v>
      </c>
      <c r="I19" s="47">
        <v>16500</v>
      </c>
      <c r="J19">
        <f>I21</f>
        <v>20000</v>
      </c>
      <c r="K19">
        <f t="shared" ref="K19" si="26">J21</f>
        <v>23200</v>
      </c>
      <c r="L19">
        <f t="shared" ref="L19" si="27">K21</f>
        <v>26220</v>
      </c>
      <c r="M19">
        <f t="shared" ref="M19" si="28">L21</f>
        <v>29170</v>
      </c>
      <c r="N19" s="88">
        <f t="shared" ref="N19" si="29">M21</f>
        <v>31570</v>
      </c>
    </row>
    <row r="20" spans="2:17" hidden="1" x14ac:dyDescent="0.3">
      <c r="B20" s="94" t="s">
        <v>661</v>
      </c>
      <c r="C20" s="72"/>
      <c r="D20" s="72"/>
      <c r="E20" s="72"/>
      <c r="F20" s="72"/>
      <c r="G20" s="72">
        <v>4800</v>
      </c>
      <c r="H20" s="72">
        <v>5100</v>
      </c>
      <c r="I20" s="73">
        <v>3500</v>
      </c>
      <c r="J20" s="81">
        <v>3200</v>
      </c>
      <c r="K20" s="82">
        <v>3020</v>
      </c>
      <c r="L20" s="82">
        <v>2950</v>
      </c>
      <c r="M20" s="82">
        <v>2400</v>
      </c>
      <c r="N20" s="91">
        <v>2400</v>
      </c>
    </row>
    <row r="21" spans="2:17" hidden="1" x14ac:dyDescent="0.3">
      <c r="B21" s="95" t="s">
        <v>662</v>
      </c>
      <c r="G21">
        <f>G19+G20</f>
        <v>19300</v>
      </c>
      <c r="H21">
        <f>H19+H20</f>
        <v>24400</v>
      </c>
      <c r="I21" s="47">
        <v>20000</v>
      </c>
      <c r="J21">
        <f>J19+J20</f>
        <v>23200</v>
      </c>
      <c r="K21">
        <f t="shared" ref="K21:N21" si="30">K19+K20</f>
        <v>26220</v>
      </c>
      <c r="L21">
        <f t="shared" si="30"/>
        <v>29170</v>
      </c>
      <c r="M21">
        <f t="shared" si="30"/>
        <v>31570</v>
      </c>
      <c r="N21" s="88">
        <f t="shared" si="30"/>
        <v>33970</v>
      </c>
    </row>
    <row r="22" spans="2:17" hidden="1" x14ac:dyDescent="0.3">
      <c r="B22" s="96" t="s">
        <v>663</v>
      </c>
      <c r="H22" s="63">
        <f>H21/G21-1</f>
        <v>0.26424870466321249</v>
      </c>
      <c r="I22" s="64">
        <f>I21/H21-1</f>
        <v>-0.18032786885245899</v>
      </c>
      <c r="N22" s="88"/>
    </row>
    <row r="23" spans="2:17" x14ac:dyDescent="0.3">
      <c r="B23" s="93"/>
      <c r="I23" s="47"/>
      <c r="N23" s="88"/>
    </row>
    <row r="24" spans="2:17" x14ac:dyDescent="0.3">
      <c r="B24" s="97" t="s">
        <v>664</v>
      </c>
      <c r="G24" s="98">
        <v>308509</v>
      </c>
      <c r="H24" s="98">
        <v>310081</v>
      </c>
      <c r="I24" s="76">
        <v>340404</v>
      </c>
      <c r="J24" s="99">
        <f>I24*(1+J25)</f>
        <v>374444.4</v>
      </c>
      <c r="K24" s="99">
        <f t="shared" ref="K24" si="31">J24*(1+K25)</f>
        <v>408144.39600000007</v>
      </c>
      <c r="L24" s="99">
        <f t="shared" ref="L24" si="32">K24*(1+L25)</f>
        <v>440795.9476800001</v>
      </c>
      <c r="M24" s="99">
        <f t="shared" ref="M24" si="33">L24*(1+M25)</f>
        <v>471651.66401760012</v>
      </c>
      <c r="N24" s="100">
        <f t="shared" ref="N24" si="34">M24*(1+N25)</f>
        <v>495234.24721848016</v>
      </c>
    </row>
    <row r="25" spans="2:17" x14ac:dyDescent="0.3">
      <c r="B25" s="96" t="s">
        <v>665</v>
      </c>
      <c r="H25" s="63">
        <f>H24/G24-1</f>
        <v>5.0954753345930914E-3</v>
      </c>
      <c r="I25" s="64">
        <f>I24/H24-1</f>
        <v>9.7790577300769899E-2</v>
      </c>
      <c r="J25" s="65">
        <v>0.1</v>
      </c>
      <c r="K25" s="65">
        <v>0.09</v>
      </c>
      <c r="L25" s="65">
        <v>0.08</v>
      </c>
      <c r="M25" s="65">
        <v>7.0000000000000007E-2</v>
      </c>
      <c r="N25" s="101">
        <v>0.05</v>
      </c>
    </row>
    <row r="26" spans="2:17" x14ac:dyDescent="0.3">
      <c r="B26" s="97" t="s">
        <v>666</v>
      </c>
      <c r="G26" s="98">
        <v>20687</v>
      </c>
      <c r="H26" s="98">
        <v>21500</v>
      </c>
      <c r="I26" s="76">
        <v>29131</v>
      </c>
      <c r="J26" s="99">
        <f>I26*(1+J27)</f>
        <v>30587.550000000003</v>
      </c>
      <c r="K26" s="99">
        <f t="shared" ref="K26" si="35">J26*(1+K27)</f>
        <v>31811.052000000003</v>
      </c>
      <c r="L26" s="99">
        <f t="shared" ref="L26" si="36">K26*(1+L27)</f>
        <v>32447.273040000004</v>
      </c>
      <c r="M26" s="99">
        <f t="shared" ref="M26" si="37">L26*(1+M27)</f>
        <v>33420.691231200006</v>
      </c>
      <c r="N26" s="100">
        <f t="shared" ref="N26" si="38">M26*(1+N27)</f>
        <v>33754.898143512008</v>
      </c>
      <c r="P26" s="226">
        <f>(J24-I24)*J10</f>
        <v>24372926.400000017</v>
      </c>
      <c r="Q26" s="226"/>
    </row>
    <row r="27" spans="2:17" x14ac:dyDescent="0.3">
      <c r="B27" s="96" t="s">
        <v>667</v>
      </c>
      <c r="D27" s="63"/>
      <c r="E27" s="63"/>
      <c r="F27" s="63"/>
      <c r="G27" s="63"/>
      <c r="H27" s="63">
        <f>H26/G26-1</f>
        <v>3.9300043505583249E-2</v>
      </c>
      <c r="I27" s="64">
        <f>I26/H26-1</f>
        <v>0.3549302325581396</v>
      </c>
      <c r="J27" s="65">
        <v>0.05</v>
      </c>
      <c r="K27" s="65">
        <v>0.04</v>
      </c>
      <c r="L27" s="65">
        <v>0.02</v>
      </c>
      <c r="M27" s="65">
        <v>0.03</v>
      </c>
      <c r="N27" s="101">
        <v>0.01</v>
      </c>
      <c r="O27" s="56"/>
      <c r="P27" s="226">
        <f>J29-I29</f>
        <v>352.62207999999998</v>
      </c>
      <c r="Q27" s="56"/>
    </row>
    <row r="28" spans="2:17" x14ac:dyDescent="0.3">
      <c r="B28" s="95"/>
      <c r="I28" s="47"/>
      <c r="N28" s="88"/>
      <c r="P28" s="99">
        <f>I24*J11</f>
        <v>1089292800</v>
      </c>
    </row>
    <row r="29" spans="2:17" x14ac:dyDescent="0.3">
      <c r="B29" s="89" t="s">
        <v>668</v>
      </c>
      <c r="G29">
        <v>381.6</v>
      </c>
      <c r="H29">
        <v>573</v>
      </c>
      <c r="I29" s="47">
        <v>845.6</v>
      </c>
      <c r="J29" s="66">
        <f>J24*J11/1000000</f>
        <v>1198.22208</v>
      </c>
      <c r="K29" s="66">
        <f t="shared" ref="K29:N29" si="39">K24*K11/1000000</f>
        <v>1615.8436637640002</v>
      </c>
      <c r="L29" s="66">
        <f t="shared" si="39"/>
        <v>2108.3270177534405</v>
      </c>
      <c r="M29" s="66">
        <f t="shared" si="39"/>
        <v>2633.2312402102611</v>
      </c>
      <c r="N29" s="102">
        <f t="shared" si="39"/>
        <v>3136.3184876346349</v>
      </c>
      <c r="P29" s="228">
        <f>P28*1.1</f>
        <v>1198222080</v>
      </c>
    </row>
    <row r="30" spans="2:17" x14ac:dyDescent="0.3">
      <c r="B30" s="103" t="s">
        <v>669</v>
      </c>
      <c r="H30" s="63">
        <f>H29/G29-1</f>
        <v>0.5015723270440251</v>
      </c>
      <c r="I30" s="64">
        <f t="shared" ref="I30" si="40">I29/H29-1</f>
        <v>0.47574171029668411</v>
      </c>
      <c r="J30" s="63">
        <f t="shared" ref="J30" si="41">J29/I29-1</f>
        <v>0.41700813623462629</v>
      </c>
      <c r="K30" s="63">
        <f t="shared" ref="K30" si="42">K29/J29-1</f>
        <v>0.34853437500000006</v>
      </c>
      <c r="L30" s="63">
        <f t="shared" ref="L30" si="43">L29/K29-1</f>
        <v>0.30478403637282159</v>
      </c>
      <c r="M30" s="63">
        <f t="shared" ref="M30" si="44">M29/L29-1</f>
        <v>0.24896717541292057</v>
      </c>
      <c r="N30" s="104">
        <f t="shared" ref="N30" si="45">N29/M29-1</f>
        <v>0.1910531972058036</v>
      </c>
      <c r="P30" s="228">
        <f>P29-P28</f>
        <v>108929280</v>
      </c>
    </row>
    <row r="31" spans="2:17" x14ac:dyDescent="0.3">
      <c r="B31" s="89" t="s">
        <v>684</v>
      </c>
      <c r="G31">
        <v>373.7</v>
      </c>
      <c r="H31">
        <v>484.9</v>
      </c>
      <c r="I31" s="47">
        <v>510.3</v>
      </c>
      <c r="J31" s="66">
        <f>J26*J16/1000000</f>
        <v>618.75554895000005</v>
      </c>
      <c r="K31" s="66">
        <f t="shared" ref="K31:N31" si="46">K26*K16/1000000</f>
        <v>719.85229570800004</v>
      </c>
      <c r="L31" s="66">
        <f t="shared" si="46"/>
        <v>808.87806961416004</v>
      </c>
      <c r="M31" s="66">
        <f t="shared" si="46"/>
        <v>906.66993241122498</v>
      </c>
      <c r="N31" s="102">
        <f t="shared" si="46"/>
        <v>986.62191783671244</v>
      </c>
      <c r="P31" s="227">
        <f>P30/(P27*1000000)</f>
        <v>0.30891224962430031</v>
      </c>
    </row>
    <row r="32" spans="2:17" x14ac:dyDescent="0.3">
      <c r="B32" s="103" t="s">
        <v>670</v>
      </c>
      <c r="H32" s="63">
        <f>H31/G31-1</f>
        <v>0.29756489162429745</v>
      </c>
      <c r="I32" s="64">
        <f t="shared" ref="I32" si="47">I31/H31-1</f>
        <v>5.2381934419468035E-2</v>
      </c>
      <c r="J32" s="63">
        <f t="shared" ref="J32" si="48">J31/I31-1</f>
        <v>0.21253291975308652</v>
      </c>
      <c r="K32" s="63">
        <f t="shared" ref="K32" si="49">K31/J31-1</f>
        <v>0.16338721637253451</v>
      </c>
      <c r="L32" s="63">
        <f t="shared" ref="L32" si="50">L31/K31-1</f>
        <v>0.12367227893411115</v>
      </c>
      <c r="M32" s="63">
        <f t="shared" ref="M32" si="51">M31/L31-1</f>
        <v>0.12089815074812482</v>
      </c>
      <c r="N32" s="104">
        <f t="shared" ref="N32" si="52">N31/M31-1</f>
        <v>8.8182019241402232E-2</v>
      </c>
    </row>
    <row r="33" spans="2:19" x14ac:dyDescent="0.3">
      <c r="B33" s="89" t="s">
        <v>671</v>
      </c>
      <c r="I33" s="47">
        <v>102.1</v>
      </c>
      <c r="J33" s="62">
        <f>I33*(1+J34)</f>
        <v>113.331</v>
      </c>
      <c r="K33" s="62">
        <f t="shared" ref="K33" si="53">J33*(1+K34)</f>
        <v>123.53079000000001</v>
      </c>
      <c r="L33" s="62">
        <f t="shared" ref="L33" si="54">K33*(1+L34)</f>
        <v>130.94263740000002</v>
      </c>
      <c r="M33" s="62">
        <f t="shared" ref="M33" si="55">L33*(1+M34)</f>
        <v>137.48976927000004</v>
      </c>
      <c r="N33" s="105">
        <f t="shared" ref="N33" si="56">M33*(1+N34)</f>
        <v>142.98936004080005</v>
      </c>
    </row>
    <row r="34" spans="2:19" x14ac:dyDescent="0.3">
      <c r="B34" s="106" t="s">
        <v>672</v>
      </c>
      <c r="C34" s="72"/>
      <c r="D34" s="72"/>
      <c r="E34" s="72"/>
      <c r="F34" s="72"/>
      <c r="G34" s="72"/>
      <c r="H34" s="72"/>
      <c r="I34" s="78">
        <v>0.12</v>
      </c>
      <c r="J34" s="83">
        <v>0.11</v>
      </c>
      <c r="K34" s="74">
        <v>0.09</v>
      </c>
      <c r="L34" s="74">
        <v>0.06</v>
      </c>
      <c r="M34" s="74">
        <v>0.05</v>
      </c>
      <c r="N34" s="107">
        <v>0.04</v>
      </c>
    </row>
    <row r="35" spans="2:19" x14ac:dyDescent="0.3">
      <c r="B35" s="95" t="s">
        <v>673</v>
      </c>
      <c r="G35">
        <v>795.1</v>
      </c>
      <c r="H35">
        <v>1102</v>
      </c>
      <c r="I35" s="47">
        <v>1457.9</v>
      </c>
      <c r="J35" s="108">
        <f>J29+J31+J33</f>
        <v>1930.30862895</v>
      </c>
      <c r="K35" s="108">
        <f t="shared" ref="K35:N35" si="57">K29+K31+K33</f>
        <v>2459.2267494719999</v>
      </c>
      <c r="L35" s="108">
        <f t="shared" si="57"/>
        <v>3048.1477247676007</v>
      </c>
      <c r="M35" s="108">
        <f t="shared" si="57"/>
        <v>3677.3909418914864</v>
      </c>
      <c r="N35" s="109">
        <f t="shared" si="57"/>
        <v>4265.9297655121482</v>
      </c>
    </row>
    <row r="36" spans="2:19" x14ac:dyDescent="0.3">
      <c r="B36" s="96" t="s">
        <v>674</v>
      </c>
      <c r="G36" s="63"/>
      <c r="H36" s="63">
        <f>H35/G35-1</f>
        <v>0.38598918375047164</v>
      </c>
      <c r="I36" s="64">
        <f>I35/H35-1</f>
        <v>0.32295825771324882</v>
      </c>
      <c r="J36" s="63">
        <f>J35/I35-1</f>
        <v>0.32403362984429651</v>
      </c>
      <c r="K36" s="63">
        <f t="shared" ref="K36" si="58">K35/J35-1</f>
        <v>0.27400702280945999</v>
      </c>
      <c r="L36" s="63">
        <f t="shared" ref="L36" si="59">L35/K35-1</f>
        <v>0.23947404419785334</v>
      </c>
      <c r="M36" s="63">
        <f t="shared" ref="M36" si="60">M35/L35-1</f>
        <v>0.20643461995329004</v>
      </c>
      <c r="N36" s="104">
        <f t="shared" ref="N36" si="61">N35/M35-1</f>
        <v>0.16004249559551686</v>
      </c>
    </row>
    <row r="37" spans="2:19" x14ac:dyDescent="0.3">
      <c r="B37" s="95"/>
      <c r="I37" s="47"/>
      <c r="N37" s="88"/>
    </row>
    <row r="38" spans="2:19" x14ac:dyDescent="0.3">
      <c r="B38" s="110" t="s">
        <v>675</v>
      </c>
      <c r="G38" s="111">
        <v>0.48</v>
      </c>
      <c r="H38" s="111">
        <v>0.52</v>
      </c>
      <c r="I38" s="52">
        <v>0.57999999999999996</v>
      </c>
      <c r="J38" s="111">
        <f>J29/J35</f>
        <v>0.62074119238216241</v>
      </c>
      <c r="K38" s="111">
        <f t="shared" ref="K38:N38" si="62">K29/K35</f>
        <v>0.65705354909258551</v>
      </c>
      <c r="L38" s="111">
        <f t="shared" si="62"/>
        <v>0.69167481635562311</v>
      </c>
      <c r="M38" s="111">
        <f t="shared" si="62"/>
        <v>0.71605964169146619</v>
      </c>
      <c r="N38" s="112">
        <f t="shared" si="62"/>
        <v>0.73520162309988313</v>
      </c>
    </row>
    <row r="39" spans="2:19" x14ac:dyDescent="0.3">
      <c r="B39" s="110" t="s">
        <v>686</v>
      </c>
      <c r="G39" s="111">
        <v>0.47</v>
      </c>
      <c r="H39" s="111">
        <v>0.44</v>
      </c>
      <c r="I39" s="52">
        <v>0.35</v>
      </c>
      <c r="J39" s="111">
        <f>J31/J35</f>
        <v>0.32054747083971485</v>
      </c>
      <c r="K39" s="111">
        <f t="shared" ref="K39:N39" si="63">K31/K35</f>
        <v>0.29271489335521972</v>
      </c>
      <c r="L39" s="111">
        <f t="shared" si="63"/>
        <v>0.26536708278330939</v>
      </c>
      <c r="M39" s="111">
        <f t="shared" si="63"/>
        <v>0.24655250060111211</v>
      </c>
      <c r="N39" s="112">
        <f t="shared" si="63"/>
        <v>0.23127945654732623</v>
      </c>
    </row>
    <row r="40" spans="2:19" x14ac:dyDescent="0.3">
      <c r="B40" s="113" t="s">
        <v>676</v>
      </c>
      <c r="C40" s="72"/>
      <c r="D40" s="72"/>
      <c r="E40" s="72"/>
      <c r="F40" s="72"/>
      <c r="G40" s="77">
        <v>0.05</v>
      </c>
      <c r="H40" s="77">
        <v>0.03</v>
      </c>
      <c r="I40" s="78">
        <v>7.0000000000000007E-2</v>
      </c>
      <c r="J40" s="77">
        <f>J33/J35</f>
        <v>5.871133677812284E-2</v>
      </c>
      <c r="K40" s="77">
        <f t="shared" ref="K40:N40" si="64">K33/K35</f>
        <v>5.0231557552194925E-2</v>
      </c>
      <c r="L40" s="77">
        <f t="shared" si="64"/>
        <v>4.2958100861067508E-2</v>
      </c>
      <c r="M40" s="77">
        <f t="shared" si="64"/>
        <v>3.7387857707421618E-2</v>
      </c>
      <c r="N40" s="114">
        <f t="shared" si="64"/>
        <v>3.3518920352790527E-2</v>
      </c>
    </row>
    <row r="41" spans="2:19" x14ac:dyDescent="0.3">
      <c r="B41" s="115" t="s">
        <v>677</v>
      </c>
      <c r="G41" s="111">
        <f>G38+G39+G40</f>
        <v>1</v>
      </c>
      <c r="H41" s="111">
        <v>1</v>
      </c>
      <c r="I41" s="52">
        <f t="shared" ref="I41" si="65">I38+I39+I40</f>
        <v>1</v>
      </c>
      <c r="J41" s="111">
        <f>J38+J39+J40</f>
        <v>1.0000000000000002</v>
      </c>
      <c r="K41" s="111">
        <f t="shared" ref="K41:N41" si="66">K38+K39+K40</f>
        <v>1.0000000000000002</v>
      </c>
      <c r="L41" s="111">
        <f t="shared" si="66"/>
        <v>1</v>
      </c>
      <c r="M41" s="111">
        <f t="shared" si="66"/>
        <v>0.99999999999999989</v>
      </c>
      <c r="N41" s="112">
        <f t="shared" si="66"/>
        <v>1</v>
      </c>
    </row>
    <row r="42" spans="2:19" x14ac:dyDescent="0.3">
      <c r="B42" s="116"/>
      <c r="I42" s="47"/>
      <c r="N42" s="88"/>
    </row>
    <row r="43" spans="2:19" x14ac:dyDescent="0.3">
      <c r="B43" s="117" t="s">
        <v>678</v>
      </c>
      <c r="G43">
        <v>639.5</v>
      </c>
      <c r="H43">
        <v>919.4</v>
      </c>
      <c r="I43" s="47">
        <v>1225.8</v>
      </c>
      <c r="J43" s="62">
        <f>0.85*(J29+J31)</f>
        <v>1544.4309846075</v>
      </c>
      <c r="K43" s="62">
        <f t="shared" ref="K43:M43" si="67">0.85*(K29+K31)</f>
        <v>1985.3415655512001</v>
      </c>
      <c r="L43" s="62">
        <f t="shared" si="67"/>
        <v>2479.6243242624605</v>
      </c>
      <c r="M43" s="62">
        <f t="shared" si="67"/>
        <v>3008.9159967282631</v>
      </c>
      <c r="N43" s="105">
        <f>0.85*(N29+N31)</f>
        <v>3504.4993446506455</v>
      </c>
    </row>
    <row r="44" spans="2:19" x14ac:dyDescent="0.3">
      <c r="B44" s="92" t="s">
        <v>679</v>
      </c>
      <c r="H44" s="63">
        <f>H43/G43-1</f>
        <v>0.43768569194683349</v>
      </c>
      <c r="I44" s="64">
        <f>I43/H43-1</f>
        <v>0.333260822275397</v>
      </c>
      <c r="J44" s="63">
        <f>J43/I43-1</f>
        <v>0.25993717132280958</v>
      </c>
      <c r="K44" s="63">
        <f t="shared" ref="K44" si="68">K43/J43-1</f>
        <v>0.28548415910974012</v>
      </c>
      <c r="L44" s="63">
        <f t="shared" ref="L44" si="69">L43/K43-1</f>
        <v>0.248966106028224</v>
      </c>
      <c r="M44" s="63">
        <f t="shared" ref="M44" si="70">M43/L43-1</f>
        <v>0.2134563963124676</v>
      </c>
      <c r="N44" s="104">
        <f t="shared" ref="N44" si="71">N43/M43-1</f>
        <v>0.16470494638642408</v>
      </c>
    </row>
    <row r="45" spans="2:19" x14ac:dyDescent="0.3">
      <c r="B45" s="89" t="s">
        <v>680</v>
      </c>
      <c r="G45">
        <v>13</v>
      </c>
      <c r="H45">
        <v>18</v>
      </c>
      <c r="I45" s="47">
        <v>23.4</v>
      </c>
      <c r="J45" s="62">
        <f>J33*0.85</f>
        <v>96.33135</v>
      </c>
      <c r="K45" s="62">
        <f t="shared" ref="K45:N45" si="72">K33*0.85</f>
        <v>105.00117150000001</v>
      </c>
      <c r="L45" s="62">
        <f t="shared" si="72"/>
        <v>111.30124179000002</v>
      </c>
      <c r="M45" s="62">
        <f t="shared" si="72"/>
        <v>116.86630387950002</v>
      </c>
      <c r="N45" s="105">
        <f t="shared" si="72"/>
        <v>121.54095603468004</v>
      </c>
    </row>
    <row r="46" spans="2:19" x14ac:dyDescent="0.3">
      <c r="B46" s="118" t="s">
        <v>681</v>
      </c>
      <c r="C46" s="72"/>
      <c r="D46" s="72"/>
      <c r="E46" s="72"/>
      <c r="F46" s="72"/>
      <c r="G46" s="72"/>
      <c r="H46" s="79">
        <f>H45/G45-1</f>
        <v>0.38461538461538458</v>
      </c>
      <c r="I46" s="80">
        <f>I45/H45-1</f>
        <v>0.29999999999999982</v>
      </c>
      <c r="J46" s="83">
        <v>0.28000000000000003</v>
      </c>
      <c r="K46" s="74">
        <v>0.26</v>
      </c>
      <c r="L46" s="74">
        <v>0.25</v>
      </c>
      <c r="M46" s="74">
        <v>0.25</v>
      </c>
      <c r="N46" s="107">
        <v>0.24</v>
      </c>
    </row>
    <row r="47" spans="2:19" x14ac:dyDescent="0.3">
      <c r="B47" s="119" t="s">
        <v>682</v>
      </c>
      <c r="D47" s="62">
        <v>119.86499999999999</v>
      </c>
      <c r="E47" s="62">
        <v>249.905</v>
      </c>
      <c r="F47" s="62">
        <v>428.34500000000003</v>
      </c>
      <c r="G47">
        <f>G43+G45</f>
        <v>652.5</v>
      </c>
      <c r="H47">
        <f t="shared" ref="H47:I47" si="73">H43+H45</f>
        <v>937.4</v>
      </c>
      <c r="I47" s="47">
        <f t="shared" si="73"/>
        <v>1249.2</v>
      </c>
      <c r="J47" s="120">
        <f>J43+J45</f>
        <v>1640.7623346075</v>
      </c>
      <c r="K47" s="120">
        <f t="shared" ref="K47:M47" si="74">K43+K45</f>
        <v>2090.3427370511999</v>
      </c>
      <c r="L47" s="120">
        <f t="shared" si="74"/>
        <v>2590.9255660524605</v>
      </c>
      <c r="M47" s="120">
        <f t="shared" si="74"/>
        <v>3125.7823006077629</v>
      </c>
      <c r="N47" s="121">
        <f>N43+N45</f>
        <v>3626.0403006853257</v>
      </c>
      <c r="P47" s="161"/>
      <c r="Q47" s="161"/>
      <c r="R47" s="161"/>
      <c r="S47" s="161"/>
    </row>
    <row r="48" spans="2:19" ht="15" thickBot="1" x14ac:dyDescent="0.35">
      <c r="B48" s="122" t="s">
        <v>683</v>
      </c>
      <c r="C48" s="123"/>
      <c r="D48" s="123"/>
      <c r="E48" s="128">
        <f>E47/D47-1</f>
        <v>1.0848871647269847</v>
      </c>
      <c r="F48" s="128">
        <f t="shared" ref="F48" si="75">F47/E47-1</f>
        <v>0.71403133190612444</v>
      </c>
      <c r="G48" s="128">
        <f t="shared" ref="G48" si="76">G47/F47-1</f>
        <v>0.52330481270938134</v>
      </c>
      <c r="H48" s="128">
        <f>H47/G47-1</f>
        <v>0.43662835249042131</v>
      </c>
      <c r="I48" s="130">
        <f t="shared" ref="I48" si="77">I47/H47-1</f>
        <v>0.33262214636227871</v>
      </c>
      <c r="J48" s="128">
        <f t="shared" ref="J48" si="78">J47/I47-1</f>
        <v>0.31345047599063403</v>
      </c>
      <c r="K48" s="128">
        <f t="shared" ref="K48" si="79">K47/J47-1</f>
        <v>0.27400702280945999</v>
      </c>
      <c r="L48" s="128">
        <f t="shared" ref="L48" si="80">L47/K47-1</f>
        <v>0.23947404419785312</v>
      </c>
      <c r="M48" s="128">
        <f t="shared" ref="M48" si="81">M47/L47-1</f>
        <v>0.20643461995329004</v>
      </c>
      <c r="N48" s="129">
        <f t="shared" ref="N48" si="82">N47/M47-1</f>
        <v>0.16004249559551709</v>
      </c>
    </row>
    <row r="49" spans="2:14" x14ac:dyDescent="0.3">
      <c r="B49" s="43"/>
      <c r="C49" s="60"/>
      <c r="D49" s="61"/>
      <c r="E49" s="61"/>
      <c r="F49" s="61"/>
      <c r="G49" s="61"/>
      <c r="H49" s="61"/>
      <c r="I49" s="45"/>
      <c r="J49" s="61"/>
      <c r="K49" s="61"/>
      <c r="L49" s="61"/>
      <c r="M49" s="61"/>
      <c r="N49" s="61"/>
    </row>
    <row r="50" spans="2:14" x14ac:dyDescent="0.3">
      <c r="B50" s="43"/>
      <c r="C50" s="43"/>
      <c r="D50" s="43"/>
      <c r="E50" s="43"/>
      <c r="F50" s="43"/>
      <c r="G50" s="43"/>
      <c r="H50" s="43"/>
      <c r="I50" s="44"/>
      <c r="J50" s="43"/>
      <c r="K50" s="43"/>
      <c r="L50" s="43"/>
      <c r="M50" s="43"/>
      <c r="N50" s="43"/>
    </row>
    <row r="51" spans="2:14" x14ac:dyDescent="0.3">
      <c r="B51" s="124" t="s">
        <v>618</v>
      </c>
      <c r="C51" s="125"/>
      <c r="D51" s="125"/>
      <c r="E51" s="125"/>
      <c r="F51" s="125"/>
      <c r="G51" s="125"/>
      <c r="H51" s="125"/>
      <c r="I51" s="126"/>
      <c r="J51" s="125"/>
      <c r="K51" s="125"/>
      <c r="L51" s="125"/>
      <c r="M51" s="125"/>
      <c r="N51" s="126"/>
    </row>
    <row r="52" spans="2:14" x14ac:dyDescent="0.3">
      <c r="B52" s="67"/>
      <c r="I52" s="47"/>
      <c r="N52" s="47"/>
    </row>
    <row r="53" spans="2:14" x14ac:dyDescent="0.3">
      <c r="B53" s="67" t="s">
        <v>627</v>
      </c>
      <c r="D53" s="66">
        <f>IS!B10</f>
        <v>119.86499999999999</v>
      </c>
      <c r="E53" s="66">
        <f>IS!C10</f>
        <v>249.905</v>
      </c>
      <c r="F53" s="66">
        <f>IS!D10</f>
        <v>428.34500000000003</v>
      </c>
      <c r="G53" s="66">
        <f>IS!E10</f>
        <v>652.54499999999996</v>
      </c>
      <c r="H53" s="66">
        <f>IS!F10</f>
        <v>937.38499999999999</v>
      </c>
      <c r="I53" s="54">
        <f>IS!G10</f>
        <v>1249.1990000000001</v>
      </c>
      <c r="J53" s="66">
        <f>J56*J57</f>
        <v>1635.4985885492254</v>
      </c>
      <c r="K53" s="66">
        <f t="shared" ref="K53:N53" si="83">K56*K57</f>
        <v>2047.0892309567798</v>
      </c>
      <c r="L53" s="66">
        <f t="shared" si="83"/>
        <v>2547.1150415364909</v>
      </c>
      <c r="M53" s="66">
        <f t="shared" si="83"/>
        <v>3077.822164595661</v>
      </c>
      <c r="N53" s="54">
        <f t="shared" si="83"/>
        <v>3639.7161432960647</v>
      </c>
    </row>
    <row r="54" spans="2:14" x14ac:dyDescent="0.3">
      <c r="B54" s="67" t="s">
        <v>648</v>
      </c>
      <c r="D54" s="66"/>
      <c r="E54" s="63">
        <f>E53/D53-1</f>
        <v>1.0848871647269847</v>
      </c>
      <c r="F54" s="63">
        <f t="shared" ref="F54:N54" si="84">F53/E53-1</f>
        <v>0.71403133190612444</v>
      </c>
      <c r="G54" s="63">
        <f t="shared" si="84"/>
        <v>0.52340986821370605</v>
      </c>
      <c r="H54" s="63">
        <f t="shared" si="84"/>
        <v>0.43650629458504775</v>
      </c>
      <c r="I54" s="64">
        <f t="shared" si="84"/>
        <v>0.3326424041349072</v>
      </c>
      <c r="J54" s="63">
        <f t="shared" si="84"/>
        <v>0.30923783044112696</v>
      </c>
      <c r="K54" s="63">
        <f t="shared" si="84"/>
        <v>0.25166065277540683</v>
      </c>
      <c r="L54" s="63">
        <f t="shared" si="84"/>
        <v>0.24426185386457555</v>
      </c>
      <c r="M54" s="63">
        <f t="shared" si="84"/>
        <v>0.20835616546751368</v>
      </c>
      <c r="N54" s="64">
        <f t="shared" si="84"/>
        <v>0.18256219776564664</v>
      </c>
    </row>
    <row r="55" spans="2:14" x14ac:dyDescent="0.3">
      <c r="B55" s="67"/>
      <c r="I55" s="47"/>
      <c r="N55" s="47"/>
    </row>
    <row r="56" spans="2:14" hidden="1" x14ac:dyDescent="0.3">
      <c r="B56" s="67"/>
      <c r="D56">
        <f>D53/D57</f>
        <v>0.617860824742268</v>
      </c>
      <c r="E56">
        <f t="shared" ref="E56:I56" si="85">E53/E57</f>
        <v>0.73285923753665694</v>
      </c>
      <c r="F56">
        <f t="shared" si="85"/>
        <v>0.76764336917562725</v>
      </c>
      <c r="G56">
        <f t="shared" si="85"/>
        <v>0.82075660364780711</v>
      </c>
      <c r="H56">
        <f t="shared" si="85"/>
        <v>0.85063626323865837</v>
      </c>
      <c r="I56">
        <f t="shared" si="85"/>
        <v>0.85686642627012455</v>
      </c>
      <c r="J56" s="46">
        <f>AVERAGE(H56:I56)</f>
        <v>0.85375134475439141</v>
      </c>
      <c r="K56" s="46">
        <f>J56</f>
        <v>0.85375134475439141</v>
      </c>
      <c r="L56" s="46">
        <f t="shared" ref="L56:N56" si="86">K56</f>
        <v>0.85375134475439141</v>
      </c>
      <c r="M56" s="46">
        <f t="shared" si="86"/>
        <v>0.85375134475439141</v>
      </c>
      <c r="N56" s="53">
        <f t="shared" si="86"/>
        <v>0.85375134475439141</v>
      </c>
    </row>
    <row r="57" spans="2:14" x14ac:dyDescent="0.3">
      <c r="B57" s="67" t="s">
        <v>628</v>
      </c>
      <c r="D57" s="46">
        <f>'Multiple Periods'!G9</f>
        <v>194</v>
      </c>
      <c r="E57" s="46">
        <f>'Multiple Periods'!H9</f>
        <v>341</v>
      </c>
      <c r="F57" s="46">
        <f>'Multiple Periods'!I9</f>
        <v>558</v>
      </c>
      <c r="G57" s="46">
        <f>'Multiple Periods'!J9</f>
        <v>795.053</v>
      </c>
      <c r="H57" s="46">
        <f>'Multiple Periods'!K9</f>
        <v>1101.981</v>
      </c>
      <c r="I57" s="53">
        <f>'Multiple Periods'!L9</f>
        <v>1457.8689999999999</v>
      </c>
      <c r="J57" s="62">
        <f>J59+J62+J65</f>
        <v>1915.6615080000001</v>
      </c>
      <c r="K57" s="62">
        <f>K59+K62+K65</f>
        <v>2397.7581336000003</v>
      </c>
      <c r="L57" s="62">
        <f>L59+L62+L65</f>
        <v>2983.4389804320003</v>
      </c>
      <c r="M57" s="62">
        <f>M59+M62+M65</f>
        <v>3605.0568863011208</v>
      </c>
      <c r="N57" s="55">
        <f>N59+N62+N65</f>
        <v>4263.2039945344322</v>
      </c>
    </row>
    <row r="58" spans="2:14" x14ac:dyDescent="0.3">
      <c r="B58" s="67" t="s">
        <v>648</v>
      </c>
      <c r="D58" s="46"/>
      <c r="E58" s="46"/>
      <c r="F58" s="46"/>
      <c r="G58" s="46"/>
      <c r="H58" s="46"/>
      <c r="I58" s="53"/>
      <c r="J58" s="63">
        <f>J57/I57-1</f>
        <v>0.31401484495520537</v>
      </c>
      <c r="K58" s="63">
        <f t="shared" ref="K58:N58" si="87">K57/J57-1</f>
        <v>0.25166065277540683</v>
      </c>
      <c r="L58" s="63">
        <f t="shared" si="87"/>
        <v>0.24426185386457533</v>
      </c>
      <c r="M58" s="63">
        <f t="shared" si="87"/>
        <v>0.20835616546751368</v>
      </c>
      <c r="N58" s="64">
        <f t="shared" si="87"/>
        <v>0.18256219776564664</v>
      </c>
    </row>
    <row r="59" spans="2:14" x14ac:dyDescent="0.3">
      <c r="B59" s="68" t="s">
        <v>629</v>
      </c>
      <c r="I59" s="55">
        <f>I79</f>
        <v>600</v>
      </c>
      <c r="J59" s="62">
        <f>J79</f>
        <v>748.05984000000012</v>
      </c>
      <c r="K59" s="62">
        <f t="shared" ref="K59:N59" si="88">K79</f>
        <v>901.75213440000016</v>
      </c>
      <c r="L59" s="62">
        <f t="shared" si="88"/>
        <v>1061.29289664</v>
      </c>
      <c r="M59" s="62">
        <f t="shared" si="88"/>
        <v>1226.8545885158401</v>
      </c>
      <c r="N59" s="55">
        <f t="shared" si="88"/>
        <v>1398.6142309080574</v>
      </c>
    </row>
    <row r="60" spans="2:14" x14ac:dyDescent="0.3">
      <c r="B60" s="69" t="s">
        <v>648</v>
      </c>
      <c r="I60" s="55"/>
      <c r="J60" s="63">
        <f>J59/I59-1</f>
        <v>0.24676640000000027</v>
      </c>
      <c r="K60" s="63">
        <f t="shared" ref="K60:N60" si="89">K59/J59-1</f>
        <v>0.20545454545454556</v>
      </c>
      <c r="L60" s="63">
        <f t="shared" si="89"/>
        <v>0.17692307692307674</v>
      </c>
      <c r="M60" s="63">
        <f t="shared" si="89"/>
        <v>0.15600000000000014</v>
      </c>
      <c r="N60" s="64">
        <f t="shared" si="89"/>
        <v>0.13999999999999968</v>
      </c>
    </row>
    <row r="61" spans="2:14" x14ac:dyDescent="0.3">
      <c r="B61" s="69" t="s">
        <v>631</v>
      </c>
      <c r="I61" s="47"/>
      <c r="J61" s="63">
        <f>J59/J57</f>
        <v>0.39049687895070451</v>
      </c>
      <c r="K61" s="63">
        <f t="shared" ref="K61:N61" si="90">K59/K57</f>
        <v>0.37608135773315349</v>
      </c>
      <c r="L61" s="63">
        <f t="shared" si="90"/>
        <v>0.35572803854909923</v>
      </c>
      <c r="M61" s="63">
        <f t="shared" si="90"/>
        <v>0.34031490409423854</v>
      </c>
      <c r="N61" s="64">
        <f t="shared" si="90"/>
        <v>0.32806645722351707</v>
      </c>
    </row>
    <row r="62" spans="2:14" x14ac:dyDescent="0.3">
      <c r="B62" s="68" t="s">
        <v>630</v>
      </c>
      <c r="I62" s="55">
        <f>I96</f>
        <v>700</v>
      </c>
      <c r="J62" s="62">
        <f>J96</f>
        <v>965.52934800000003</v>
      </c>
      <c r="K62" s="62">
        <f t="shared" ref="K62:N62" si="91">K96</f>
        <v>1241.3948760000003</v>
      </c>
      <c r="L62" s="62">
        <f t="shared" si="91"/>
        <v>1603.8821797920002</v>
      </c>
      <c r="M62" s="62">
        <f t="shared" si="91"/>
        <v>1980.3724177852807</v>
      </c>
      <c r="N62" s="55">
        <f t="shared" si="91"/>
        <v>2371.280712426375</v>
      </c>
    </row>
    <row r="63" spans="2:14" x14ac:dyDescent="0.3">
      <c r="B63" s="69" t="s">
        <v>648</v>
      </c>
      <c r="I63" s="55"/>
      <c r="J63" s="63">
        <f>J62/I62-1</f>
        <v>0.37932764000000008</v>
      </c>
      <c r="K63" s="63">
        <f t="shared" ref="K63:N63" si="92">K62/J62-1</f>
        <v>0.28571428571428603</v>
      </c>
      <c r="L63" s="63">
        <f t="shared" si="92"/>
        <v>0.29199999999999982</v>
      </c>
      <c r="M63" s="63">
        <f t="shared" si="92"/>
        <v>0.23473684210526335</v>
      </c>
      <c r="N63" s="64">
        <f t="shared" si="92"/>
        <v>0.19739130434782592</v>
      </c>
    </row>
    <row r="64" spans="2:14" x14ac:dyDescent="0.3">
      <c r="B64" s="69" t="s">
        <v>631</v>
      </c>
      <c r="I64" s="47"/>
      <c r="J64" s="63">
        <f>J62/J57</f>
        <v>0.50401876530266432</v>
      </c>
      <c r="K64" s="63">
        <f>K62/K57</f>
        <v>0.51773148367394617</v>
      </c>
      <c r="L64" s="63">
        <f>L62/L57</f>
        <v>0.53759510092603235</v>
      </c>
      <c r="M64" s="63">
        <f>M62/M57</f>
        <v>0.5493318081360965</v>
      </c>
      <c r="N64" s="64">
        <f>N62/N57</f>
        <v>0.55622032524515241</v>
      </c>
    </row>
    <row r="65" spans="2:14" x14ac:dyDescent="0.3">
      <c r="B65" s="68" t="s">
        <v>632</v>
      </c>
      <c r="I65" s="55">
        <f>I57-I59-I62</f>
        <v>157.86899999999991</v>
      </c>
      <c r="J65" s="62">
        <f>I65*(1+J66)</f>
        <v>202.07231999999991</v>
      </c>
      <c r="K65" s="62">
        <f t="shared" ref="K65:N65" si="93">J65*(1+K66)</f>
        <v>254.61112319999989</v>
      </c>
      <c r="L65" s="62">
        <f t="shared" si="93"/>
        <v>318.26390399999985</v>
      </c>
      <c r="M65" s="62">
        <f t="shared" si="93"/>
        <v>397.82987999999983</v>
      </c>
      <c r="N65" s="55">
        <f t="shared" si="93"/>
        <v>493.30905119999977</v>
      </c>
    </row>
    <row r="66" spans="2:14" x14ac:dyDescent="0.3">
      <c r="B66" s="69" t="s">
        <v>649</v>
      </c>
      <c r="I66" s="58">
        <v>0.3</v>
      </c>
      <c r="J66" s="65">
        <v>0.28000000000000003</v>
      </c>
      <c r="K66" s="65">
        <v>0.26</v>
      </c>
      <c r="L66" s="65">
        <v>0.25</v>
      </c>
      <c r="M66" s="65">
        <v>0.25</v>
      </c>
      <c r="N66" s="58">
        <v>0.24</v>
      </c>
    </row>
    <row r="67" spans="2:14" x14ac:dyDescent="0.3">
      <c r="B67" s="69" t="s">
        <v>633</v>
      </c>
      <c r="I67" s="47"/>
      <c r="J67" s="63">
        <f>J65/J57</f>
        <v>0.10548435574663115</v>
      </c>
      <c r="K67" s="63">
        <f t="shared" ref="K67:N67" si="94">K65/K57</f>
        <v>0.10618715859290032</v>
      </c>
      <c r="L67" s="63">
        <f t="shared" si="94"/>
        <v>0.10667686052486833</v>
      </c>
      <c r="M67" s="63">
        <f t="shared" si="94"/>
        <v>0.11035328776966494</v>
      </c>
      <c r="N67" s="64">
        <f t="shared" si="94"/>
        <v>0.11571321753133047</v>
      </c>
    </row>
    <row r="68" spans="2:14" x14ac:dyDescent="0.3">
      <c r="B68" s="67"/>
      <c r="I68" s="47"/>
      <c r="N68" s="47"/>
    </row>
    <row r="69" spans="2:14" x14ac:dyDescent="0.3">
      <c r="B69" s="124" t="s">
        <v>634</v>
      </c>
      <c r="C69" s="125"/>
      <c r="D69" s="125"/>
      <c r="E69" s="125"/>
      <c r="F69" s="125"/>
      <c r="G69" s="125"/>
      <c r="H69" s="125"/>
      <c r="I69" s="126"/>
      <c r="J69" s="125"/>
      <c r="K69" s="125"/>
      <c r="L69" s="125"/>
      <c r="M69" s="125"/>
      <c r="N69" s="126"/>
    </row>
    <row r="70" spans="2:14" x14ac:dyDescent="0.3">
      <c r="B70" s="67"/>
      <c r="I70" s="47"/>
      <c r="N70" s="47"/>
    </row>
    <row r="71" spans="2:14" x14ac:dyDescent="0.3">
      <c r="B71" s="67" t="s">
        <v>636</v>
      </c>
      <c r="I71" s="55">
        <v>35</v>
      </c>
      <c r="J71">
        <v>35</v>
      </c>
      <c r="K71">
        <v>35</v>
      </c>
      <c r="L71">
        <v>35</v>
      </c>
      <c r="M71">
        <v>35</v>
      </c>
      <c r="N71" s="47">
        <v>35</v>
      </c>
    </row>
    <row r="72" spans="2:14" x14ac:dyDescent="0.3">
      <c r="B72" s="67" t="s">
        <v>637</v>
      </c>
      <c r="I72" s="52">
        <v>0.09</v>
      </c>
      <c r="J72" s="65">
        <v>0.1</v>
      </c>
      <c r="K72" s="65">
        <v>0.11</v>
      </c>
      <c r="L72" s="65">
        <v>0.12</v>
      </c>
      <c r="M72" s="65">
        <v>0.13</v>
      </c>
      <c r="N72" s="58">
        <v>0.14000000000000001</v>
      </c>
    </row>
    <row r="73" spans="2:14" x14ac:dyDescent="0.3">
      <c r="B73" s="67" t="s">
        <v>638</v>
      </c>
      <c r="I73" s="47">
        <v>3.15</v>
      </c>
      <c r="J73">
        <f>J72*J71</f>
        <v>3.5</v>
      </c>
      <c r="K73">
        <f t="shared" ref="K73:N73" si="95">K72*K71</f>
        <v>3.85</v>
      </c>
      <c r="L73">
        <f t="shared" si="95"/>
        <v>4.2</v>
      </c>
      <c r="M73">
        <f t="shared" si="95"/>
        <v>4.55</v>
      </c>
      <c r="N73" s="47">
        <f t="shared" si="95"/>
        <v>4.9000000000000004</v>
      </c>
    </row>
    <row r="74" spans="2:14" x14ac:dyDescent="0.3">
      <c r="B74" s="67"/>
      <c r="I74" s="47"/>
      <c r="N74" s="47"/>
    </row>
    <row r="75" spans="2:14" x14ac:dyDescent="0.3">
      <c r="B75" s="67" t="s">
        <v>639</v>
      </c>
      <c r="I75" s="55">
        <v>45</v>
      </c>
      <c r="J75" s="62">
        <v>45</v>
      </c>
      <c r="K75" s="62">
        <v>45</v>
      </c>
      <c r="L75" s="62">
        <v>45</v>
      </c>
      <c r="M75" s="62">
        <v>45</v>
      </c>
      <c r="N75" s="55">
        <v>45</v>
      </c>
    </row>
    <row r="76" spans="2:14" x14ac:dyDescent="0.3">
      <c r="B76" s="67" t="s">
        <v>640</v>
      </c>
      <c r="I76" s="52">
        <v>0.01</v>
      </c>
      <c r="J76" s="65">
        <v>0.02</v>
      </c>
      <c r="K76" s="65">
        <v>0.03</v>
      </c>
      <c r="L76" s="65">
        <v>0.04</v>
      </c>
      <c r="M76" s="65">
        <v>0.05</v>
      </c>
      <c r="N76" s="58">
        <v>0.06</v>
      </c>
    </row>
    <row r="77" spans="2:14" x14ac:dyDescent="0.3">
      <c r="B77" s="67" t="s">
        <v>641</v>
      </c>
      <c r="I77" s="47">
        <v>0.45</v>
      </c>
      <c r="J77">
        <f>J76*J75</f>
        <v>0.9</v>
      </c>
      <c r="K77">
        <f t="shared" ref="K77:N77" si="96">K76*K75</f>
        <v>1.3499999999999999</v>
      </c>
      <c r="L77">
        <f t="shared" si="96"/>
        <v>1.8</v>
      </c>
      <c r="M77">
        <f>M76*M75</f>
        <v>2.25</v>
      </c>
      <c r="N77" s="47">
        <f t="shared" si="96"/>
        <v>2.6999999999999997</v>
      </c>
    </row>
    <row r="78" spans="2:14" x14ac:dyDescent="0.3">
      <c r="B78" s="67"/>
      <c r="I78" s="47"/>
      <c r="N78" s="47"/>
    </row>
    <row r="79" spans="2:14" x14ac:dyDescent="0.3">
      <c r="B79" s="70" t="s">
        <v>642</v>
      </c>
      <c r="I79" s="57">
        <v>600</v>
      </c>
      <c r="J79" s="62">
        <f>J82*J81</f>
        <v>748.05984000000012</v>
      </c>
      <c r="K79" s="62">
        <f t="shared" ref="K79:N79" si="97">K82*K81</f>
        <v>901.75213440000016</v>
      </c>
      <c r="L79" s="62">
        <f t="shared" si="97"/>
        <v>1061.29289664</v>
      </c>
      <c r="M79" s="62">
        <f t="shared" si="97"/>
        <v>1226.8545885158401</v>
      </c>
      <c r="N79" s="55">
        <f t="shared" si="97"/>
        <v>1398.6142309080574</v>
      </c>
    </row>
    <row r="80" spans="2:14" x14ac:dyDescent="0.3">
      <c r="B80" s="68" t="s">
        <v>643</v>
      </c>
      <c r="I80" s="58">
        <v>0.25</v>
      </c>
      <c r="J80" s="63">
        <f>J79/I79-1</f>
        <v>0.24676640000000027</v>
      </c>
      <c r="K80" s="63">
        <f t="shared" ref="K80:N80" si="98">K79/J79-1</f>
        <v>0.20545454545454556</v>
      </c>
      <c r="L80" s="63">
        <f t="shared" si="98"/>
        <v>0.17692307692307674</v>
      </c>
      <c r="M80" s="63">
        <f t="shared" si="98"/>
        <v>0.15600000000000014</v>
      </c>
      <c r="N80" s="64">
        <f t="shared" si="98"/>
        <v>0.13999999999999968</v>
      </c>
    </row>
    <row r="81" spans="2:14" x14ac:dyDescent="0.3">
      <c r="B81" s="67" t="s">
        <v>644</v>
      </c>
      <c r="I81" s="54">
        <v>3.6</v>
      </c>
      <c r="J81" s="62">
        <f>J73+J77</f>
        <v>4.4000000000000004</v>
      </c>
      <c r="K81" s="62">
        <f t="shared" ref="K81:N81" si="99">K73+K77</f>
        <v>5.2</v>
      </c>
      <c r="L81" s="62">
        <f t="shared" si="99"/>
        <v>6</v>
      </c>
      <c r="M81" s="62">
        <f t="shared" si="99"/>
        <v>6.8</v>
      </c>
      <c r="N81" s="55">
        <f t="shared" si="99"/>
        <v>7.6</v>
      </c>
    </row>
    <row r="82" spans="2:14" x14ac:dyDescent="0.3">
      <c r="B82" s="67" t="s">
        <v>645</v>
      </c>
      <c r="I82" s="47">
        <v>166.67</v>
      </c>
      <c r="J82" s="66">
        <f>J83*12</f>
        <v>170.01360000000003</v>
      </c>
      <c r="K82" s="66">
        <f t="shared" ref="K82:N82" si="100">K83*12</f>
        <v>173.41387200000003</v>
      </c>
      <c r="L82" s="66">
        <f t="shared" si="100"/>
        <v>176.88214944000001</v>
      </c>
      <c r="M82" s="66">
        <f t="shared" si="100"/>
        <v>180.41979242880001</v>
      </c>
      <c r="N82" s="54">
        <f t="shared" si="100"/>
        <v>184.02818827737599</v>
      </c>
    </row>
    <row r="83" spans="2:14" x14ac:dyDescent="0.3">
      <c r="B83" s="67" t="s">
        <v>646</v>
      </c>
      <c r="I83" s="54">
        <v>13.89</v>
      </c>
      <c r="J83" s="66">
        <f>I83*(1+J84)</f>
        <v>14.167800000000002</v>
      </c>
      <c r="K83" s="66">
        <f t="shared" ref="K83:N83" si="101">J83*(1+K84)</f>
        <v>14.451156000000001</v>
      </c>
      <c r="L83" s="66">
        <f t="shared" si="101"/>
        <v>14.740179120000001</v>
      </c>
      <c r="M83" s="66">
        <f t="shared" si="101"/>
        <v>15.034982702400001</v>
      </c>
      <c r="N83" s="54">
        <f t="shared" si="101"/>
        <v>15.335682356448</v>
      </c>
    </row>
    <row r="84" spans="2:14" x14ac:dyDescent="0.3">
      <c r="B84" s="68" t="s">
        <v>643</v>
      </c>
      <c r="I84" s="47"/>
      <c r="J84" s="65">
        <v>0.02</v>
      </c>
      <c r="K84" s="65">
        <v>0.02</v>
      </c>
      <c r="L84" s="65">
        <v>0.02</v>
      </c>
      <c r="M84" s="65">
        <v>0.02</v>
      </c>
      <c r="N84" s="58">
        <v>0.02</v>
      </c>
    </row>
    <row r="85" spans="2:14" x14ac:dyDescent="0.3">
      <c r="B85" s="67"/>
      <c r="I85" s="47"/>
      <c r="N85" s="47"/>
    </row>
    <row r="86" spans="2:14" x14ac:dyDescent="0.3">
      <c r="B86" s="124" t="s">
        <v>635</v>
      </c>
      <c r="C86" s="125"/>
      <c r="D86" s="125"/>
      <c r="E86" s="125"/>
      <c r="F86" s="125"/>
      <c r="G86" s="125"/>
      <c r="H86" s="125"/>
      <c r="I86" s="126"/>
      <c r="J86" s="125"/>
      <c r="K86" s="125"/>
      <c r="L86" s="125"/>
      <c r="M86" s="125"/>
      <c r="N86" s="126"/>
    </row>
    <row r="87" spans="2:14" x14ac:dyDescent="0.3">
      <c r="B87" s="67"/>
      <c r="I87" s="47"/>
      <c r="N87" s="47"/>
    </row>
    <row r="88" spans="2:14" x14ac:dyDescent="0.3">
      <c r="B88" s="67" t="s">
        <v>636</v>
      </c>
      <c r="I88" s="47">
        <v>35</v>
      </c>
      <c r="J88">
        <f>I88</f>
        <v>35</v>
      </c>
      <c r="K88">
        <f t="shared" ref="K88:N88" si="102">J88</f>
        <v>35</v>
      </c>
      <c r="L88">
        <f t="shared" si="102"/>
        <v>35</v>
      </c>
      <c r="M88">
        <f t="shared" si="102"/>
        <v>35</v>
      </c>
      <c r="N88" s="47">
        <f t="shared" si="102"/>
        <v>35</v>
      </c>
    </row>
    <row r="89" spans="2:14" x14ac:dyDescent="0.3">
      <c r="B89" s="67" t="s">
        <v>637</v>
      </c>
      <c r="I89" s="52">
        <v>0.04</v>
      </c>
      <c r="J89" s="65">
        <v>0.05</v>
      </c>
      <c r="K89" s="65">
        <v>0.06</v>
      </c>
      <c r="L89" s="65">
        <v>7.0000000000000007E-2</v>
      </c>
      <c r="M89" s="65">
        <v>0.08</v>
      </c>
      <c r="N89" s="58">
        <v>0.09</v>
      </c>
    </row>
    <row r="90" spans="2:14" x14ac:dyDescent="0.3">
      <c r="B90" s="67" t="s">
        <v>638</v>
      </c>
      <c r="I90" s="47">
        <v>1.4</v>
      </c>
      <c r="J90">
        <f>J89*J88</f>
        <v>1.75</v>
      </c>
      <c r="K90">
        <f t="shared" ref="K90:N90" si="103">K89*K88</f>
        <v>2.1</v>
      </c>
      <c r="L90">
        <f t="shared" si="103"/>
        <v>2.4500000000000002</v>
      </c>
      <c r="M90">
        <f t="shared" si="103"/>
        <v>2.8000000000000003</v>
      </c>
      <c r="N90" s="47">
        <f t="shared" si="103"/>
        <v>3.15</v>
      </c>
    </row>
    <row r="91" spans="2:14" x14ac:dyDescent="0.3">
      <c r="B91" s="67"/>
      <c r="I91" s="47"/>
      <c r="N91" s="47"/>
    </row>
    <row r="92" spans="2:14" x14ac:dyDescent="0.3">
      <c r="B92" s="67" t="s">
        <v>639</v>
      </c>
      <c r="I92" s="47">
        <v>45</v>
      </c>
      <c r="J92">
        <f>I92</f>
        <v>45</v>
      </c>
      <c r="K92">
        <f t="shared" ref="K92:N92" si="104">J92</f>
        <v>45</v>
      </c>
      <c r="L92">
        <f t="shared" si="104"/>
        <v>45</v>
      </c>
      <c r="M92">
        <f t="shared" si="104"/>
        <v>45</v>
      </c>
      <c r="N92" s="47">
        <f t="shared" si="104"/>
        <v>45</v>
      </c>
    </row>
    <row r="93" spans="2:14" x14ac:dyDescent="0.3">
      <c r="B93" s="67" t="s">
        <v>640</v>
      </c>
      <c r="I93" s="52">
        <v>0.01</v>
      </c>
      <c r="J93" s="65">
        <v>1.4E-2</v>
      </c>
      <c r="K93" s="65">
        <v>0.02</v>
      </c>
      <c r="L93" s="65">
        <v>0.03</v>
      </c>
      <c r="M93" s="65">
        <v>0.04</v>
      </c>
      <c r="N93" s="58">
        <v>0.05</v>
      </c>
    </row>
    <row r="94" spans="2:14" x14ac:dyDescent="0.3">
      <c r="B94" s="67" t="s">
        <v>641</v>
      </c>
      <c r="I94" s="47">
        <v>0.36</v>
      </c>
      <c r="J94">
        <f>J93*J92</f>
        <v>0.63</v>
      </c>
      <c r="K94">
        <f t="shared" ref="K94:N94" si="105">K93*K92</f>
        <v>0.9</v>
      </c>
      <c r="L94">
        <f t="shared" si="105"/>
        <v>1.3499999999999999</v>
      </c>
      <c r="M94">
        <f t="shared" si="105"/>
        <v>1.8</v>
      </c>
      <c r="N94" s="47">
        <f t="shared" si="105"/>
        <v>2.25</v>
      </c>
    </row>
    <row r="95" spans="2:14" x14ac:dyDescent="0.3">
      <c r="B95" s="67"/>
      <c r="I95" s="47"/>
      <c r="N95" s="47"/>
    </row>
    <row r="96" spans="2:14" x14ac:dyDescent="0.3">
      <c r="B96" s="70" t="s">
        <v>647</v>
      </c>
      <c r="I96" s="55">
        <v>700</v>
      </c>
      <c r="J96" s="62">
        <f>J98*J99</f>
        <v>965.52934800000003</v>
      </c>
      <c r="K96" s="62">
        <f t="shared" ref="K96:N96" si="106">K98*K99</f>
        <v>1241.3948760000003</v>
      </c>
      <c r="L96" s="62">
        <f t="shared" si="106"/>
        <v>1603.8821797920002</v>
      </c>
      <c r="M96" s="62">
        <f t="shared" si="106"/>
        <v>1980.3724177852807</v>
      </c>
      <c r="N96" s="55">
        <f t="shared" si="106"/>
        <v>2371.280712426375</v>
      </c>
    </row>
    <row r="97" spans="2:14" x14ac:dyDescent="0.3">
      <c r="B97" s="68" t="s">
        <v>643</v>
      </c>
      <c r="I97" s="52">
        <v>0.3</v>
      </c>
      <c r="J97" s="63">
        <f>J96/I96-1</f>
        <v>0.37932764000000008</v>
      </c>
      <c r="K97" s="63">
        <f t="shared" ref="K97:N97" si="107">K96/J96-1</f>
        <v>0.28571428571428603</v>
      </c>
      <c r="L97" s="63">
        <f t="shared" si="107"/>
        <v>0.29199999999999982</v>
      </c>
      <c r="M97" s="63">
        <f t="shared" si="107"/>
        <v>0.23473684210526335</v>
      </c>
      <c r="N97" s="64">
        <f t="shared" si="107"/>
        <v>0.19739130434782592</v>
      </c>
    </row>
    <row r="98" spans="2:14" x14ac:dyDescent="0.3">
      <c r="B98" s="67" t="s">
        <v>644</v>
      </c>
      <c r="I98" s="47">
        <v>1.76</v>
      </c>
      <c r="J98">
        <f>J90+J94</f>
        <v>2.38</v>
      </c>
      <c r="K98">
        <f t="shared" ref="K98:N98" si="108">K90+K94</f>
        <v>3</v>
      </c>
      <c r="L98">
        <f t="shared" si="108"/>
        <v>3.8</v>
      </c>
      <c r="M98">
        <f t="shared" si="108"/>
        <v>4.6000000000000005</v>
      </c>
      <c r="N98" s="47">
        <f t="shared" si="108"/>
        <v>5.4</v>
      </c>
    </row>
    <row r="99" spans="2:14" x14ac:dyDescent="0.3">
      <c r="B99" s="67" t="s">
        <v>645</v>
      </c>
      <c r="I99" s="54">
        <v>397.73</v>
      </c>
      <c r="J99" s="66">
        <f>J100*12</f>
        <v>405.68460000000005</v>
      </c>
      <c r="K99" s="66">
        <f t="shared" ref="K99:N99" si="109">K100*12</f>
        <v>413.79829200000006</v>
      </c>
      <c r="L99" s="66">
        <f t="shared" si="109"/>
        <v>422.07425784000009</v>
      </c>
      <c r="M99" s="66">
        <f t="shared" si="109"/>
        <v>430.5157429968001</v>
      </c>
      <c r="N99" s="54">
        <f t="shared" si="109"/>
        <v>439.12605785673605</v>
      </c>
    </row>
    <row r="100" spans="2:14" x14ac:dyDescent="0.3">
      <c r="B100" s="67" t="s">
        <v>646</v>
      </c>
      <c r="I100" s="54">
        <f>I99/12</f>
        <v>33.144166666666671</v>
      </c>
      <c r="J100" s="66">
        <f>I100*(1+J101)</f>
        <v>33.807050000000004</v>
      </c>
      <c r="K100" s="66">
        <f t="shared" ref="K100:N100" si="110">J100*(1+K101)</f>
        <v>34.483191000000005</v>
      </c>
      <c r="L100" s="66">
        <f t="shared" si="110"/>
        <v>35.172854820000005</v>
      </c>
      <c r="M100" s="66">
        <f t="shared" si="110"/>
        <v>35.876311916400006</v>
      </c>
      <c r="N100" s="54">
        <f t="shared" si="110"/>
        <v>36.593838154728004</v>
      </c>
    </row>
    <row r="101" spans="2:14" x14ac:dyDescent="0.3">
      <c r="B101" s="71" t="s">
        <v>643</v>
      </c>
      <c r="C101" s="72"/>
      <c r="D101" s="72"/>
      <c r="E101" s="72"/>
      <c r="F101" s="72"/>
      <c r="G101" s="72"/>
      <c r="H101" s="72"/>
      <c r="I101" s="73"/>
      <c r="J101" s="74">
        <v>0.02</v>
      </c>
      <c r="K101" s="74">
        <v>0.02</v>
      </c>
      <c r="L101" s="74">
        <v>0.02</v>
      </c>
      <c r="M101" s="74">
        <v>0.02</v>
      </c>
      <c r="N101" s="75">
        <v>0.02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FEE92-EEC3-460B-BD45-387B2653AB42}">
  <dimension ref="B2:P77"/>
  <sheetViews>
    <sheetView showGridLines="0" workbookViewId="0">
      <selection activeCell="Q14" sqref="Q14"/>
    </sheetView>
  </sheetViews>
  <sheetFormatPr defaultRowHeight="14.4" x14ac:dyDescent="0.3"/>
  <cols>
    <col min="2" max="2" width="32.44140625" customWidth="1"/>
  </cols>
  <sheetData>
    <row r="2" spans="2:16" x14ac:dyDescent="0.3">
      <c r="B2" s="41" t="s">
        <v>650</v>
      </c>
      <c r="C2" s="43"/>
      <c r="D2" s="43"/>
      <c r="E2" s="43"/>
      <c r="F2" s="43"/>
      <c r="G2" s="43"/>
      <c r="H2" s="43"/>
      <c r="I2" s="43"/>
      <c r="J2" s="43"/>
      <c r="K2" s="44"/>
      <c r="L2" s="43"/>
      <c r="M2" s="43"/>
      <c r="N2" s="43"/>
      <c r="O2" s="43"/>
      <c r="P2" s="43"/>
    </row>
    <row r="3" spans="2:16" x14ac:dyDescent="0.3">
      <c r="B3" s="43" t="s">
        <v>651</v>
      </c>
      <c r="C3" s="43"/>
      <c r="D3" s="43"/>
      <c r="E3" s="48"/>
      <c r="F3" s="48"/>
      <c r="G3" s="48"/>
      <c r="H3" s="51" t="s">
        <v>700</v>
      </c>
      <c r="I3" s="49"/>
      <c r="J3" s="48"/>
      <c r="K3" s="50"/>
      <c r="L3" s="48"/>
      <c r="M3" s="48"/>
      <c r="N3" s="51" t="s">
        <v>612</v>
      </c>
      <c r="O3" s="48"/>
      <c r="P3" s="48"/>
    </row>
    <row r="4" spans="2:16" x14ac:dyDescent="0.3">
      <c r="B4" s="43"/>
      <c r="C4" s="59"/>
      <c r="D4" s="43"/>
      <c r="E4" s="60" t="s">
        <v>613</v>
      </c>
      <c r="F4" s="61" t="s">
        <v>619</v>
      </c>
      <c r="G4" s="61" t="s">
        <v>620</v>
      </c>
      <c r="H4" s="61" t="s">
        <v>621</v>
      </c>
      <c r="I4" s="61" t="s">
        <v>622</v>
      </c>
      <c r="J4" s="61" t="s">
        <v>623</v>
      </c>
      <c r="K4" s="131" t="s">
        <v>624</v>
      </c>
      <c r="L4" s="61" t="s">
        <v>695</v>
      </c>
      <c r="M4" s="61" t="s">
        <v>696</v>
      </c>
      <c r="N4" s="61" t="s">
        <v>697</v>
      </c>
      <c r="O4" s="61" t="s">
        <v>698</v>
      </c>
      <c r="P4" s="61" t="s">
        <v>699</v>
      </c>
    </row>
    <row r="5" spans="2:16" ht="15" thickBot="1" x14ac:dyDescent="0.35">
      <c r="K5" s="47"/>
    </row>
    <row r="6" spans="2:16" x14ac:dyDescent="0.3">
      <c r="B6" s="138" t="s">
        <v>652</v>
      </c>
      <c r="C6" s="139"/>
      <c r="D6" s="139"/>
      <c r="E6" s="139"/>
      <c r="F6" s="139"/>
      <c r="G6" s="139"/>
      <c r="H6" s="139"/>
      <c r="I6" s="139"/>
      <c r="J6" s="139"/>
      <c r="K6" s="140"/>
      <c r="L6" s="139"/>
      <c r="M6" s="139"/>
      <c r="N6" s="139"/>
      <c r="O6" s="139"/>
      <c r="P6" s="141"/>
    </row>
    <row r="7" spans="2:16" x14ac:dyDescent="0.3">
      <c r="B7" s="87"/>
      <c r="K7" s="47"/>
      <c r="P7" s="88"/>
    </row>
    <row r="8" spans="2:16" x14ac:dyDescent="0.3">
      <c r="B8" s="87" t="s">
        <v>627</v>
      </c>
      <c r="F8" s="62">
        <f>'Revenue Build'!D47</f>
        <v>119.86499999999999</v>
      </c>
      <c r="G8" s="62">
        <f>'Revenue Build'!E47</f>
        <v>249.905</v>
      </c>
      <c r="H8" s="62">
        <f>'Revenue Build'!F47</f>
        <v>428.34500000000003</v>
      </c>
      <c r="I8" s="62">
        <f>'Revenue Build'!G47</f>
        <v>652.5</v>
      </c>
      <c r="J8" s="62">
        <f>'Revenue Build'!H47</f>
        <v>937.4</v>
      </c>
      <c r="K8" s="55">
        <f>'Revenue Build'!I47</f>
        <v>1249.2</v>
      </c>
      <c r="L8" s="62">
        <f>'Revenue Build'!J47</f>
        <v>1640.7623346075</v>
      </c>
      <c r="M8" s="62">
        <f>'Revenue Build'!K47</f>
        <v>2090.3427370511999</v>
      </c>
      <c r="N8" s="62">
        <f>'Revenue Build'!L47</f>
        <v>2590.9255660524605</v>
      </c>
      <c r="O8" s="62">
        <f>'Revenue Build'!M47</f>
        <v>3125.7823006077629</v>
      </c>
      <c r="P8" s="105">
        <f>'Revenue Build'!N47</f>
        <v>3626.0403006853257</v>
      </c>
    </row>
    <row r="9" spans="2:16" x14ac:dyDescent="0.3">
      <c r="B9" s="87" t="s">
        <v>648</v>
      </c>
      <c r="G9" s="142">
        <f>G8/F8-1</f>
        <v>1.0848871647269847</v>
      </c>
      <c r="H9" s="142">
        <f t="shared" ref="H9:P9" si="0">H8/G8-1</f>
        <v>0.71403133190612444</v>
      </c>
      <c r="I9" s="142">
        <f t="shared" si="0"/>
        <v>0.52330481270938134</v>
      </c>
      <c r="J9" s="142">
        <f t="shared" si="0"/>
        <v>0.43662835249042131</v>
      </c>
      <c r="K9" s="136">
        <f t="shared" si="0"/>
        <v>0.33262214636227871</v>
      </c>
      <c r="L9" s="142">
        <f t="shared" si="0"/>
        <v>0.31345047599063403</v>
      </c>
      <c r="M9" s="142">
        <f t="shared" si="0"/>
        <v>0.27400702280945999</v>
      </c>
      <c r="N9" s="142">
        <f t="shared" si="0"/>
        <v>0.23947404419785312</v>
      </c>
      <c r="O9" s="142">
        <f t="shared" si="0"/>
        <v>0.20643461995329004</v>
      </c>
      <c r="P9" s="143">
        <f t="shared" si="0"/>
        <v>0.16004249559551709</v>
      </c>
    </row>
    <row r="10" spans="2:16" x14ac:dyDescent="0.3">
      <c r="B10" s="87"/>
      <c r="K10" s="47"/>
      <c r="P10" s="88"/>
    </row>
    <row r="11" spans="2:16" x14ac:dyDescent="0.3">
      <c r="B11" s="87" t="s">
        <v>688</v>
      </c>
      <c r="F11" s="62">
        <f>F8-F13</f>
        <v>48.315999999999988</v>
      </c>
      <c r="G11" s="62">
        <f t="shared" ref="G11:K11" si="1">G8-G13</f>
        <v>75.38</v>
      </c>
      <c r="H11" s="62">
        <f t="shared" si="1"/>
        <v>118.14000000000004</v>
      </c>
      <c r="I11" s="62">
        <f t="shared" si="1"/>
        <v>173.14499999999998</v>
      </c>
      <c r="J11" s="62">
        <f t="shared" si="1"/>
        <v>234.322</v>
      </c>
      <c r="K11" s="55">
        <f t="shared" si="1"/>
        <v>282.97300000000007</v>
      </c>
      <c r="L11" s="62">
        <f>L8-L13</f>
        <v>370.8122876212949</v>
      </c>
      <c r="M11" s="62">
        <f t="shared" ref="M11:P11" si="2">M8-M13</f>
        <v>470.32711583651985</v>
      </c>
      <c r="N11" s="62">
        <f t="shared" si="2"/>
        <v>575.18547566364623</v>
      </c>
      <c r="O11" s="62">
        <f t="shared" si="2"/>
        <v>687.67210613370753</v>
      </c>
      <c r="P11" s="105">
        <f t="shared" si="2"/>
        <v>779.59866464734478</v>
      </c>
    </row>
    <row r="12" spans="2:16" x14ac:dyDescent="0.3">
      <c r="B12" s="87"/>
      <c r="K12" s="47"/>
      <c r="P12" s="88"/>
    </row>
    <row r="13" spans="2:16" x14ac:dyDescent="0.3">
      <c r="B13" s="87" t="s">
        <v>689</v>
      </c>
      <c r="F13" s="62">
        <f>'Multiple Periods'!G114</f>
        <v>71.549000000000007</v>
      </c>
      <c r="G13" s="62">
        <f>'Multiple Periods'!H114</f>
        <v>174.52500000000001</v>
      </c>
      <c r="H13" s="62">
        <f>'Multiple Periods'!I114</f>
        <v>310.20499999999998</v>
      </c>
      <c r="I13" s="62">
        <f>'Multiple Periods'!J114</f>
        <v>479.35500000000002</v>
      </c>
      <c r="J13" s="62">
        <f>'Multiple Periods'!K114</f>
        <v>703.07799999999997</v>
      </c>
      <c r="K13" s="55">
        <f>'Multiple Periods'!L114</f>
        <v>966.22699999999998</v>
      </c>
      <c r="L13" s="62">
        <f>L14*L8</f>
        <v>1269.9500469862051</v>
      </c>
      <c r="M13" s="62">
        <f t="shared" ref="M13:P13" si="3">M14*M8</f>
        <v>1620.0156212146801</v>
      </c>
      <c r="N13" s="62">
        <f t="shared" si="3"/>
        <v>2015.7400903888142</v>
      </c>
      <c r="O13" s="62">
        <f t="shared" si="3"/>
        <v>2438.1101944740553</v>
      </c>
      <c r="P13" s="105">
        <f t="shared" si="3"/>
        <v>2846.441636037981</v>
      </c>
    </row>
    <row r="14" spans="2:16" x14ac:dyDescent="0.3">
      <c r="B14" s="144" t="s">
        <v>690</v>
      </c>
      <c r="C14" s="145"/>
      <c r="D14" s="145"/>
      <c r="E14" s="145"/>
      <c r="F14" s="146">
        <f>F13/F8</f>
        <v>0.59691319400992793</v>
      </c>
      <c r="G14" s="146">
        <f t="shared" ref="G14:K14" si="4">G13/G8</f>
        <v>0.69836537884396077</v>
      </c>
      <c r="H14" s="146">
        <f t="shared" si="4"/>
        <v>0.72419428264599783</v>
      </c>
      <c r="I14" s="146">
        <f t="shared" si="4"/>
        <v>0.73464367816091958</v>
      </c>
      <c r="J14" s="146">
        <f t="shared" si="4"/>
        <v>0.7500298698527843</v>
      </c>
      <c r="K14" s="134">
        <f t="shared" si="4"/>
        <v>0.77347662504002557</v>
      </c>
      <c r="L14" s="147">
        <v>0.77400000000000002</v>
      </c>
      <c r="M14" s="147">
        <v>0.77500000000000002</v>
      </c>
      <c r="N14" s="147">
        <v>0.77800000000000002</v>
      </c>
      <c r="O14" s="147">
        <v>0.78</v>
      </c>
      <c r="P14" s="148">
        <v>0.78500000000000003</v>
      </c>
    </row>
    <row r="15" spans="2:16" x14ac:dyDescent="0.3">
      <c r="B15" s="87"/>
      <c r="K15" s="47"/>
      <c r="P15" s="88"/>
    </row>
    <row r="16" spans="2:16" x14ac:dyDescent="0.3">
      <c r="B16" s="87" t="s">
        <v>691</v>
      </c>
      <c r="K16" s="47"/>
      <c r="P16" s="88"/>
    </row>
    <row r="17" spans="2:16" x14ac:dyDescent="0.3">
      <c r="B17" s="149" t="s">
        <v>155</v>
      </c>
      <c r="F17" s="62">
        <f>'Multiple Periods'!G118</f>
        <v>66.811999999999998</v>
      </c>
      <c r="G17" s="62">
        <f>'Multiple Periods'!H118</f>
        <v>85.954999999999998</v>
      </c>
      <c r="H17" s="62">
        <f>'Multiple Periods'!I118</f>
        <v>102.276</v>
      </c>
      <c r="I17" s="62">
        <f>'Multiple Periods'!J118</f>
        <v>187.405</v>
      </c>
      <c r="J17" s="62">
        <f>'Multiple Periods'!K118</f>
        <v>163.36099999999999</v>
      </c>
      <c r="K17" s="55">
        <f>'Multiple Periods'!L118</f>
        <v>192.46600000000001</v>
      </c>
      <c r="L17" s="62">
        <f>L18*L$8</f>
        <v>251.03663719494747</v>
      </c>
      <c r="M17" s="62">
        <f t="shared" ref="M17:P17" si="5">M18*M$8</f>
        <v>315.64175329473119</v>
      </c>
      <c r="N17" s="62">
        <f t="shared" si="5"/>
        <v>383.45698377576412</v>
      </c>
      <c r="O17" s="62">
        <f t="shared" si="5"/>
        <v>459.48999818934112</v>
      </c>
      <c r="P17" s="105">
        <f t="shared" si="5"/>
        <v>525.77584359937225</v>
      </c>
    </row>
    <row r="18" spans="2:16" x14ac:dyDescent="0.3">
      <c r="B18" s="150" t="s">
        <v>692</v>
      </c>
      <c r="F18" s="151">
        <f>F17/F8</f>
        <v>0.55739373461811204</v>
      </c>
      <c r="G18" s="151">
        <f t="shared" ref="G18:K18" si="6">G17/G8</f>
        <v>0.34395070126648125</v>
      </c>
      <c r="H18" s="151">
        <f t="shared" si="6"/>
        <v>0.23877015022937115</v>
      </c>
      <c r="I18" s="151">
        <f t="shared" si="6"/>
        <v>0.28721072796934866</v>
      </c>
      <c r="J18" s="151">
        <f t="shared" si="6"/>
        <v>0.17427032216769789</v>
      </c>
      <c r="K18" s="135">
        <f t="shared" si="6"/>
        <v>0.15407140569964778</v>
      </c>
      <c r="L18" s="147">
        <v>0.153</v>
      </c>
      <c r="M18" s="147">
        <v>0.151</v>
      </c>
      <c r="N18" s="147">
        <v>0.14799999999999999</v>
      </c>
      <c r="O18" s="147">
        <v>0.14699999999999999</v>
      </c>
      <c r="P18" s="148">
        <v>0.14499999999999999</v>
      </c>
    </row>
    <row r="19" spans="2:16" x14ac:dyDescent="0.3">
      <c r="B19" s="150"/>
      <c r="F19" s="152"/>
      <c r="G19" s="152"/>
      <c r="H19" s="152"/>
      <c r="I19" s="152"/>
      <c r="J19" s="152"/>
      <c r="K19" s="132"/>
      <c r="P19" s="88"/>
    </row>
    <row r="20" spans="2:16" x14ac:dyDescent="0.3">
      <c r="B20" s="149" t="s">
        <v>158</v>
      </c>
      <c r="F20" s="62">
        <f>'Multiple Periods'!G119</f>
        <v>179.393</v>
      </c>
      <c r="G20" s="62">
        <f>'Multiple Periods'!H119</f>
        <v>195.315</v>
      </c>
      <c r="H20" s="62">
        <f>'Multiple Periods'!I119</f>
        <v>228.661</v>
      </c>
      <c r="I20" s="62">
        <f>'Multiple Periods'!J119</f>
        <v>316.02600000000001</v>
      </c>
      <c r="J20" s="62">
        <f>'Multiple Periods'!K119</f>
        <v>411.44600000000003</v>
      </c>
      <c r="K20" s="55">
        <f>'Multiple Periods'!L119</f>
        <v>511.17700000000002</v>
      </c>
      <c r="L20" s="62">
        <f>L21*L$8</f>
        <v>638.25654816231747</v>
      </c>
      <c r="M20" s="62">
        <f t="shared" ref="M20:P20" si="7">M21*M$8</f>
        <v>804.78195376471194</v>
      </c>
      <c r="N20" s="62">
        <f t="shared" si="7"/>
        <v>979.36986396783004</v>
      </c>
      <c r="O20" s="62">
        <f t="shared" si="7"/>
        <v>1169.0425804273034</v>
      </c>
      <c r="P20" s="105">
        <f t="shared" si="7"/>
        <v>1345.2609515542558</v>
      </c>
    </row>
    <row r="21" spans="2:16" x14ac:dyDescent="0.3">
      <c r="B21" s="150" t="s">
        <v>692</v>
      </c>
      <c r="F21" s="151">
        <f>F20/F8</f>
        <v>1.4966253702081509</v>
      </c>
      <c r="G21" s="151">
        <f t="shared" ref="G21:K21" si="8">G20/G8</f>
        <v>0.78155699165682957</v>
      </c>
      <c r="H21" s="151">
        <f t="shared" si="8"/>
        <v>0.53382437054243659</v>
      </c>
      <c r="I21" s="151">
        <f t="shared" si="8"/>
        <v>0.48433103448275866</v>
      </c>
      <c r="J21" s="151">
        <f t="shared" si="8"/>
        <v>0.4389225517388522</v>
      </c>
      <c r="K21" s="135">
        <f t="shared" si="8"/>
        <v>0.40920349023374958</v>
      </c>
      <c r="L21" s="147">
        <v>0.38900000000000001</v>
      </c>
      <c r="M21" s="147">
        <v>0.38500000000000001</v>
      </c>
      <c r="N21" s="147">
        <v>0.378</v>
      </c>
      <c r="O21" s="147">
        <v>0.374</v>
      </c>
      <c r="P21" s="148">
        <v>0.371</v>
      </c>
    </row>
    <row r="22" spans="2:16" x14ac:dyDescent="0.3">
      <c r="B22" s="150"/>
      <c r="F22" s="152"/>
      <c r="G22" s="152"/>
      <c r="H22" s="152"/>
      <c r="I22" s="152"/>
      <c r="J22" s="152"/>
      <c r="K22" s="132"/>
      <c r="P22" s="88"/>
    </row>
    <row r="23" spans="2:16" x14ac:dyDescent="0.3">
      <c r="B23" s="153" t="s">
        <v>161</v>
      </c>
      <c r="F23" s="62">
        <f>'Multiple Periods'!G120</f>
        <v>44.953000000000003</v>
      </c>
      <c r="G23" s="62">
        <f>'Multiple Periods'!H120</f>
        <v>70.402000000000001</v>
      </c>
      <c r="H23" s="62">
        <f>'Multiple Periods'!I120</f>
        <v>93.346000000000004</v>
      </c>
      <c r="I23" s="62">
        <f>'Multiple Periods'!J120</f>
        <v>117.083</v>
      </c>
      <c r="J23" s="62">
        <f>'Multiple Periods'!K120</f>
        <v>127.001</v>
      </c>
      <c r="K23" s="55">
        <f>'Multiple Periods'!L120</f>
        <v>149.03200000000001</v>
      </c>
      <c r="L23" s="62">
        <f>L24*L$8</f>
        <v>185.40614381064751</v>
      </c>
      <c r="M23" s="62">
        <f t="shared" ref="M23:P23" si="9">M24*M$8</f>
        <v>225.75701560152959</v>
      </c>
      <c r="N23" s="62">
        <f t="shared" si="9"/>
        <v>264.27440773735094</v>
      </c>
      <c r="O23" s="62">
        <f t="shared" si="9"/>
        <v>293.82353625712972</v>
      </c>
      <c r="P23" s="105">
        <f t="shared" si="9"/>
        <v>326.34362706167929</v>
      </c>
    </row>
    <row r="24" spans="2:16" x14ac:dyDescent="0.3">
      <c r="B24" s="154" t="s">
        <v>692</v>
      </c>
      <c r="C24" s="145"/>
      <c r="D24" s="145"/>
      <c r="E24" s="145"/>
      <c r="F24" s="146">
        <f>F23/F8</f>
        <v>0.37503024235598387</v>
      </c>
      <c r="G24" s="146">
        <f t="shared" ref="G24:K24" si="10">G23/G8</f>
        <v>0.2817150517196535</v>
      </c>
      <c r="H24" s="146">
        <f t="shared" si="10"/>
        <v>0.21792246903780829</v>
      </c>
      <c r="I24" s="146">
        <f t="shared" si="10"/>
        <v>0.17943754789272032</v>
      </c>
      <c r="J24" s="146">
        <f t="shared" si="10"/>
        <v>0.13548218476637508</v>
      </c>
      <c r="K24" s="134">
        <f t="shared" si="10"/>
        <v>0.11930195325008006</v>
      </c>
      <c r="L24" s="147">
        <v>0.113</v>
      </c>
      <c r="M24" s="147">
        <v>0.108</v>
      </c>
      <c r="N24" s="147">
        <v>0.10199999999999999</v>
      </c>
      <c r="O24" s="147">
        <v>9.4E-2</v>
      </c>
      <c r="P24" s="148">
        <v>0.09</v>
      </c>
    </row>
    <row r="25" spans="2:16" x14ac:dyDescent="0.3">
      <c r="B25" s="87"/>
      <c r="K25" s="47"/>
      <c r="P25" s="88"/>
    </row>
    <row r="26" spans="2:16" x14ac:dyDescent="0.3">
      <c r="B26" s="87" t="s">
        <v>693</v>
      </c>
      <c r="F26" s="62">
        <f>F13-SUM(F17,F20,F23)</f>
        <v>-219.60900000000001</v>
      </c>
      <c r="G26" s="62">
        <f t="shared" ref="G26:P26" si="11">G13-SUM(G17,G20,G23)</f>
        <v>-177.14699999999996</v>
      </c>
      <c r="H26" s="62">
        <f>Sheet2!I21</f>
        <v>-76.974999999999994</v>
      </c>
      <c r="I26" s="62">
        <f t="shared" si="11"/>
        <v>-141.15899999999999</v>
      </c>
      <c r="J26" s="62">
        <f t="shared" si="11"/>
        <v>1.2699999999999818</v>
      </c>
      <c r="K26" s="55">
        <f t="shared" si="11"/>
        <v>113.55199999999991</v>
      </c>
      <c r="L26" s="62">
        <f t="shared" si="11"/>
        <v>195.25071781829251</v>
      </c>
      <c r="M26" s="62">
        <f>M13-SUM(M17,M20,M23)</f>
        <v>273.83489855370749</v>
      </c>
      <c r="N26" s="62">
        <f t="shared" si="11"/>
        <v>388.6388349078693</v>
      </c>
      <c r="O26" s="62">
        <f t="shared" si="11"/>
        <v>515.7540796002811</v>
      </c>
      <c r="P26" s="105">
        <f t="shared" si="11"/>
        <v>649.06121382267338</v>
      </c>
    </row>
    <row r="27" spans="2:16" x14ac:dyDescent="0.3">
      <c r="B27" s="155" t="s">
        <v>692</v>
      </c>
      <c r="F27" s="156"/>
      <c r="G27" s="156"/>
      <c r="H27" s="156"/>
      <c r="I27" s="156"/>
      <c r="J27" s="156"/>
      <c r="K27" s="136">
        <f>K26/K8</f>
        <v>9.0899775856548112E-2</v>
      </c>
      <c r="L27" s="147">
        <f>L26/L8</f>
        <v>0.11900000000000001</v>
      </c>
      <c r="M27" s="147">
        <f t="shared" ref="M27:P27" si="12">M26/M8</f>
        <v>0.13100000000000014</v>
      </c>
      <c r="N27" s="147">
        <f t="shared" si="12"/>
        <v>0.15000000000000008</v>
      </c>
      <c r="O27" s="147">
        <f t="shared" si="12"/>
        <v>0.16500000000000006</v>
      </c>
      <c r="P27" s="148">
        <f t="shared" si="12"/>
        <v>0.17900000000000002</v>
      </c>
    </row>
    <row r="28" spans="2:16" x14ac:dyDescent="0.3">
      <c r="B28" s="87"/>
      <c r="K28" s="47"/>
      <c r="P28" s="88"/>
    </row>
    <row r="29" spans="2:16" x14ac:dyDescent="0.3">
      <c r="B29" s="149" t="s">
        <v>171</v>
      </c>
      <c r="F29" s="46">
        <f>Sheet1!C22</f>
        <v>-2.9340000000000002</v>
      </c>
      <c r="G29" s="46">
        <f>Sheet1!D22</f>
        <v>0.64200000000000002</v>
      </c>
      <c r="H29" s="46">
        <f>Sheet1!E22</f>
        <v>2E-3</v>
      </c>
      <c r="I29" s="46">
        <f>Sheet1!F22</f>
        <v>-15.62</v>
      </c>
      <c r="J29" s="46">
        <f>Sheet1!G22</f>
        <v>-39.963999999999999</v>
      </c>
      <c r="K29" s="53">
        <f>Sheet1!H22</f>
        <v>-39.558999999999997</v>
      </c>
      <c r="L29">
        <v>0</v>
      </c>
      <c r="M29">
        <v>0</v>
      </c>
      <c r="N29">
        <v>0</v>
      </c>
      <c r="O29">
        <v>0</v>
      </c>
      <c r="P29" s="88">
        <v>0</v>
      </c>
    </row>
    <row r="30" spans="2:16" x14ac:dyDescent="0.3">
      <c r="B30" s="157"/>
      <c r="K30" s="47"/>
      <c r="P30" s="88"/>
    </row>
    <row r="31" spans="2:16" x14ac:dyDescent="0.3">
      <c r="B31" s="87" t="s">
        <v>174</v>
      </c>
      <c r="F31" s="62">
        <f>F26-F29</f>
        <v>-216.67500000000001</v>
      </c>
      <c r="G31" s="62">
        <f t="shared" ref="G31:K31" si="13">G26-G29</f>
        <v>-177.78899999999996</v>
      </c>
      <c r="H31" s="62">
        <f t="shared" si="13"/>
        <v>-76.97699999999999</v>
      </c>
      <c r="I31" s="62">
        <f t="shared" si="13"/>
        <v>-125.53899999999999</v>
      </c>
      <c r="J31" s="62">
        <f t="shared" si="13"/>
        <v>41.23399999999998</v>
      </c>
      <c r="K31" s="55">
        <f t="shared" si="13"/>
        <v>153.1109999999999</v>
      </c>
      <c r="L31" s="62">
        <f>L26</f>
        <v>195.25071781829251</v>
      </c>
      <c r="M31" s="62">
        <f t="shared" ref="M31:P31" si="14">M26</f>
        <v>273.83489855370749</v>
      </c>
      <c r="N31" s="62">
        <f t="shared" si="14"/>
        <v>388.6388349078693</v>
      </c>
      <c r="O31" s="62">
        <f t="shared" si="14"/>
        <v>515.7540796002811</v>
      </c>
      <c r="P31" s="105">
        <f t="shared" si="14"/>
        <v>649.06121382267338</v>
      </c>
    </row>
    <row r="32" spans="2:16" x14ac:dyDescent="0.3">
      <c r="B32" s="87"/>
      <c r="K32" s="47"/>
      <c r="P32" s="88"/>
    </row>
    <row r="33" spans="2:16" x14ac:dyDescent="0.3">
      <c r="B33" s="149" t="s">
        <v>180</v>
      </c>
      <c r="E33" s="133"/>
      <c r="F33" s="133">
        <f>Sheet1!C28</f>
        <v>0.34</v>
      </c>
      <c r="G33" s="133">
        <f>Sheet1!D28</f>
        <v>8.6999999999999994E-2</v>
      </c>
      <c r="H33" s="133">
        <f>Sheet1!E28</f>
        <v>1.1739999999999999</v>
      </c>
      <c r="I33" s="133">
        <f>Sheet1!F28</f>
        <v>3.5870000000000002</v>
      </c>
      <c r="J33" s="133">
        <f>Sheet1!G28</f>
        <v>3.343</v>
      </c>
      <c r="K33" s="137">
        <f>Sheet1!H28</f>
        <v>4.4930000000000003</v>
      </c>
      <c r="L33" s="66">
        <f>L34*L31</f>
        <v>9.7625358909146271</v>
      </c>
      <c r="M33" s="66">
        <f t="shared" ref="M33:P33" si="15">M34*M31</f>
        <v>13.691744927685376</v>
      </c>
      <c r="N33" s="66">
        <f t="shared" si="15"/>
        <v>19.431941745393466</v>
      </c>
      <c r="O33" s="66">
        <f t="shared" si="15"/>
        <v>25.787703980014058</v>
      </c>
      <c r="P33" s="102">
        <f t="shared" si="15"/>
        <v>32.453060691133672</v>
      </c>
    </row>
    <row r="34" spans="2:16" x14ac:dyDescent="0.3">
      <c r="B34" s="157" t="s">
        <v>694</v>
      </c>
      <c r="E34" s="133"/>
      <c r="F34" s="133"/>
      <c r="G34" s="133"/>
      <c r="H34" s="133"/>
      <c r="I34" s="133"/>
      <c r="J34" s="63">
        <f>J33/J31</f>
        <v>8.1073871077266366E-2</v>
      </c>
      <c r="K34" s="64">
        <f t="shared" ref="K34" si="16">K33/K31</f>
        <v>2.9344723762499123E-2</v>
      </c>
      <c r="L34" s="158">
        <v>0.05</v>
      </c>
      <c r="M34" s="158">
        <v>0.05</v>
      </c>
      <c r="N34" s="158">
        <v>0.05</v>
      </c>
      <c r="O34" s="158">
        <v>0.05</v>
      </c>
      <c r="P34" s="159">
        <v>0.05</v>
      </c>
    </row>
    <row r="35" spans="2:16" x14ac:dyDescent="0.3">
      <c r="B35" s="87"/>
      <c r="K35" s="47"/>
      <c r="P35" s="88"/>
    </row>
    <row r="36" spans="2:16" x14ac:dyDescent="0.3">
      <c r="B36" s="149" t="s">
        <v>505</v>
      </c>
      <c r="E36" s="62"/>
      <c r="F36" s="62">
        <f>F31-F33</f>
        <v>-217.01500000000001</v>
      </c>
      <c r="G36" s="62">
        <f t="shared" ref="G36:K36" si="17">G31-G33</f>
        <v>-177.87599999999995</v>
      </c>
      <c r="H36" s="62">
        <f t="shared" si="17"/>
        <v>-78.150999999999996</v>
      </c>
      <c r="I36" s="62">
        <f t="shared" si="17"/>
        <v>-129.12599999999998</v>
      </c>
      <c r="J36" s="62">
        <f t="shared" si="17"/>
        <v>37.890999999999977</v>
      </c>
      <c r="K36" s="55">
        <f t="shared" si="17"/>
        <v>148.61799999999991</v>
      </c>
      <c r="L36" s="62">
        <f t="shared" ref="L36" si="18">L31-L33</f>
        <v>185.48818192737789</v>
      </c>
      <c r="M36" s="62">
        <f t="shared" ref="M36:P36" si="19">M31-M33</f>
        <v>260.14315362602213</v>
      </c>
      <c r="N36" s="62">
        <f t="shared" si="19"/>
        <v>369.20689316247581</v>
      </c>
      <c r="O36" s="62">
        <f t="shared" si="19"/>
        <v>489.96637562026706</v>
      </c>
      <c r="P36" s="105">
        <f t="shared" si="19"/>
        <v>616.60815313153967</v>
      </c>
    </row>
    <row r="37" spans="2:16" ht="15" thickBot="1" x14ac:dyDescent="0.35">
      <c r="B37" s="160" t="s">
        <v>648</v>
      </c>
      <c r="C37" s="123"/>
      <c r="D37" s="123"/>
      <c r="E37" s="123"/>
      <c r="F37" s="123"/>
      <c r="G37" s="123"/>
      <c r="H37" s="123"/>
      <c r="I37" s="123"/>
      <c r="J37" s="128"/>
      <c r="K37" s="130">
        <f>K36/J36-1</f>
        <v>2.9222506663851573</v>
      </c>
      <c r="L37" s="128">
        <f t="shared" ref="L37:P37" si="20">L36/K36-1</f>
        <v>0.24808692034193713</v>
      </c>
      <c r="M37" s="128">
        <f t="shared" si="20"/>
        <v>0.4024783192272221</v>
      </c>
      <c r="N37" s="128">
        <f t="shared" si="20"/>
        <v>0.41924508877616695</v>
      </c>
      <c r="O37" s="128">
        <f t="shared" si="20"/>
        <v>0.32707808194861898</v>
      </c>
      <c r="P37" s="129">
        <f t="shared" si="20"/>
        <v>0.25847034370665134</v>
      </c>
    </row>
    <row r="38" spans="2:16" x14ac:dyDescent="0.3">
      <c r="K38" s="47"/>
    </row>
    <row r="39" spans="2:16" ht="15" customHeight="1" thickBot="1" x14ac:dyDescent="0.35">
      <c r="K39" s="47"/>
    </row>
    <row r="40" spans="2:16" ht="15" customHeight="1" x14ac:dyDescent="0.3">
      <c r="B40" s="185" t="s">
        <v>701</v>
      </c>
      <c r="C40" s="84"/>
      <c r="D40" s="84"/>
      <c r="E40" s="84"/>
      <c r="F40" s="186">
        <f>Sheet3!C10</f>
        <v>34.213000000000001</v>
      </c>
      <c r="G40" s="186">
        <f>Sheet3!D10</f>
        <v>42.247999999999998</v>
      </c>
      <c r="H40" s="186">
        <f>Sheet3!E10</f>
        <v>81.986999999999995</v>
      </c>
      <c r="I40" s="186">
        <f>Sheet3!F10</f>
        <v>122.867</v>
      </c>
      <c r="J40" s="186">
        <f>Sheet3!G10</f>
        <v>161.82900000000001</v>
      </c>
      <c r="K40" s="187">
        <f>Sheet3!H10</f>
        <v>234.01599999999999</v>
      </c>
      <c r="L40" s="188">
        <f>L41*L8/365</f>
        <v>298.20231603534381</v>
      </c>
      <c r="M40" s="188">
        <f t="shared" ref="M40:P40" si="21">M41*M8/365</f>
        <v>379.91184484707406</v>
      </c>
      <c r="N40" s="188">
        <f t="shared" si="21"/>
        <v>470.89087077127022</v>
      </c>
      <c r="O40" s="188">
        <f t="shared" si="21"/>
        <v>568.09904871841115</v>
      </c>
      <c r="P40" s="189">
        <f t="shared" si="21"/>
        <v>659.01903822074485</v>
      </c>
    </row>
    <row r="41" spans="2:16" ht="15" customHeight="1" x14ac:dyDescent="0.3">
      <c r="B41" s="190" t="s">
        <v>702</v>
      </c>
      <c r="F41" s="191">
        <f>F40/F8*365</f>
        <v>104.18174613106412</v>
      </c>
      <c r="G41" s="191">
        <f t="shared" ref="G41:K41" si="22">G40/G8*365</f>
        <v>61.705528100678251</v>
      </c>
      <c r="H41" s="191">
        <f t="shared" si="22"/>
        <v>69.862505690506481</v>
      </c>
      <c r="I41" s="191">
        <f t="shared" si="22"/>
        <v>68.730199233716476</v>
      </c>
      <c r="J41" s="191">
        <f t="shared" si="22"/>
        <v>63.012145295498193</v>
      </c>
      <c r="K41" s="181">
        <f t="shared" si="22"/>
        <v>68.376432917066921</v>
      </c>
      <c r="L41" s="191">
        <f>AVERAGE(G41:K41)</f>
        <v>66.337362247493274</v>
      </c>
      <c r="M41" s="191">
        <f>L41</f>
        <v>66.337362247493274</v>
      </c>
      <c r="N41" s="191">
        <f t="shared" ref="N41:P41" si="23">M41</f>
        <v>66.337362247493274</v>
      </c>
      <c r="O41" s="191">
        <f t="shared" si="23"/>
        <v>66.337362247493274</v>
      </c>
      <c r="P41" s="192">
        <f t="shared" si="23"/>
        <v>66.337362247493274</v>
      </c>
    </row>
    <row r="42" spans="2:16" ht="15" customHeight="1" x14ac:dyDescent="0.3">
      <c r="B42" s="193"/>
      <c r="K42" s="47"/>
      <c r="P42" s="88"/>
    </row>
    <row r="43" spans="2:16" ht="15" customHeight="1" x14ac:dyDescent="0.3">
      <c r="B43" s="194" t="s">
        <v>703</v>
      </c>
      <c r="F43" s="62">
        <f>Sheet3!C14</f>
        <v>16.515999999999998</v>
      </c>
      <c r="G43" s="62">
        <f>Sheet3!D14</f>
        <v>13.673999999999999</v>
      </c>
      <c r="H43" s="62">
        <f>Sheet3!E14</f>
        <v>33.067</v>
      </c>
      <c r="I43" s="62">
        <f>Sheet3!F14</f>
        <v>40.570999999999998</v>
      </c>
      <c r="J43" s="62">
        <f>Sheet3!G14</f>
        <v>22.238</v>
      </c>
      <c r="K43" s="55">
        <f>Sheet3!H14</f>
        <v>38.911000000000001</v>
      </c>
      <c r="L43" s="62">
        <f>L44*L11/365</f>
        <v>57.689674167664911</v>
      </c>
      <c r="M43" s="62">
        <f t="shared" ref="M43:P43" si="24">M44*M11/365</f>
        <v>73.171841847206991</v>
      </c>
      <c r="N43" s="62">
        <f t="shared" si="24"/>
        <v>89.485337419286552</v>
      </c>
      <c r="O43" s="62">
        <f t="shared" si="24"/>
        <v>106.98561256298353</v>
      </c>
      <c r="P43" s="105">
        <f t="shared" si="24"/>
        <v>121.28722387696084</v>
      </c>
    </row>
    <row r="44" spans="2:16" ht="15" customHeight="1" x14ac:dyDescent="0.3">
      <c r="B44" s="190" t="s">
        <v>704</v>
      </c>
      <c r="F44" s="62">
        <f>F43/F11*365</f>
        <v>124.76902061428929</v>
      </c>
      <c r="G44" s="62">
        <f t="shared" ref="G44:K44" si="25">G43/G11*365</f>
        <v>66.211329265057046</v>
      </c>
      <c r="H44" s="62">
        <f t="shared" si="25"/>
        <v>102.16230743186047</v>
      </c>
      <c r="I44" s="62">
        <f t="shared" si="25"/>
        <v>85.526090848710624</v>
      </c>
      <c r="J44" s="62">
        <f t="shared" si="25"/>
        <v>34.639811882793758</v>
      </c>
      <c r="K44" s="55">
        <f t="shared" si="25"/>
        <v>50.190353850013949</v>
      </c>
      <c r="L44" s="62">
        <f>AVERAGE(I44:K44)</f>
        <v>56.785418860506105</v>
      </c>
      <c r="M44" s="62">
        <f>L44</f>
        <v>56.785418860506105</v>
      </c>
      <c r="N44" s="62">
        <f t="shared" ref="N44:P44" si="26">M44</f>
        <v>56.785418860506105</v>
      </c>
      <c r="O44" s="62">
        <f t="shared" si="26"/>
        <v>56.785418860506105</v>
      </c>
      <c r="P44" s="105">
        <f t="shared" si="26"/>
        <v>56.785418860506105</v>
      </c>
    </row>
    <row r="45" spans="2:16" ht="15" customHeight="1" x14ac:dyDescent="0.3">
      <c r="B45" s="193"/>
      <c r="K45" s="47"/>
      <c r="P45" s="88"/>
    </row>
    <row r="46" spans="2:16" ht="15" customHeight="1" x14ac:dyDescent="0.3">
      <c r="B46" s="194" t="s">
        <v>531</v>
      </c>
      <c r="F46" s="62">
        <f>Sheet3!C13</f>
        <v>14.736000000000001</v>
      </c>
      <c r="G46" s="62">
        <f>Sheet3!D13</f>
        <v>26.059000000000001</v>
      </c>
      <c r="H46" s="62">
        <f>Sheet3!E13</f>
        <v>52.518999999999998</v>
      </c>
      <c r="I46" s="62">
        <f>Sheet3!F13</f>
        <v>82.046000000000006</v>
      </c>
      <c r="J46" s="62">
        <v>0</v>
      </c>
      <c r="K46" s="55">
        <f>Sheet3!H13</f>
        <v>119.32299999999999</v>
      </c>
      <c r="L46" s="62">
        <f>L47*L8</f>
        <v>187.40248258116694</v>
      </c>
      <c r="M46" s="62">
        <f t="shared" ref="M46:P46" si="27">M47*M8</f>
        <v>238.75207890033417</v>
      </c>
      <c r="N46" s="62">
        <f t="shared" si="27"/>
        <v>295.92700479524211</v>
      </c>
      <c r="O46" s="62">
        <f t="shared" si="27"/>
        <v>357.01658356406335</v>
      </c>
      <c r="P46" s="105">
        <f t="shared" si="27"/>
        <v>414.15440856664151</v>
      </c>
    </row>
    <row r="47" spans="2:16" ht="15" customHeight="1" x14ac:dyDescent="0.3">
      <c r="B47" s="190" t="s">
        <v>705</v>
      </c>
      <c r="F47" s="63">
        <f>F46/F$8</f>
        <v>0.12293830559379303</v>
      </c>
      <c r="G47" s="63">
        <f t="shared" ref="G47:K47" si="28">G46/G$8</f>
        <v>0.10427562473740022</v>
      </c>
      <c r="H47" s="63">
        <f t="shared" si="28"/>
        <v>0.12260911181407509</v>
      </c>
      <c r="I47" s="63">
        <f t="shared" si="28"/>
        <v>0.12574099616858239</v>
      </c>
      <c r="J47" s="63">
        <f t="shared" si="28"/>
        <v>0</v>
      </c>
      <c r="K47" s="64">
        <f t="shared" si="28"/>
        <v>9.5519532500800503E-2</v>
      </c>
      <c r="L47" s="111">
        <f>AVERAGE(F47:I47,K47)</f>
        <v>0.11421671416293025</v>
      </c>
      <c r="M47" s="111">
        <f>L47</f>
        <v>0.11421671416293025</v>
      </c>
      <c r="N47" s="111">
        <f t="shared" ref="N47:P47" si="29">M47</f>
        <v>0.11421671416293025</v>
      </c>
      <c r="O47" s="111">
        <f t="shared" si="29"/>
        <v>0.11421671416293025</v>
      </c>
      <c r="P47" s="112">
        <f t="shared" si="29"/>
        <v>0.11421671416293025</v>
      </c>
    </row>
    <row r="48" spans="2:16" ht="15" customHeight="1" x14ac:dyDescent="0.3">
      <c r="B48" s="193"/>
      <c r="K48" s="47"/>
      <c r="P48" s="88"/>
    </row>
    <row r="49" spans="2:16" ht="15" customHeight="1" x14ac:dyDescent="0.3">
      <c r="B49" s="195" t="s">
        <v>533</v>
      </c>
      <c r="C49" s="182"/>
      <c r="D49" s="182"/>
      <c r="E49" s="182"/>
      <c r="F49" s="182">
        <f>SUM(F40,F43,F46)</f>
        <v>65.465000000000003</v>
      </c>
      <c r="G49" s="182">
        <f t="shared" ref="G49:P49" si="30">SUM(G40,G43,G46)</f>
        <v>81.980999999999995</v>
      </c>
      <c r="H49" s="182">
        <f t="shared" si="30"/>
        <v>167.57300000000001</v>
      </c>
      <c r="I49" s="182">
        <f t="shared" si="30"/>
        <v>245.48399999999998</v>
      </c>
      <c r="J49" s="182">
        <f t="shared" si="30"/>
        <v>184.06700000000001</v>
      </c>
      <c r="K49" s="184">
        <f t="shared" si="30"/>
        <v>392.25</v>
      </c>
      <c r="L49" s="183">
        <f>SUM(L40,L43,L46)</f>
        <v>543.2944727841757</v>
      </c>
      <c r="M49" s="182">
        <f t="shared" si="30"/>
        <v>691.83576559461517</v>
      </c>
      <c r="N49" s="182">
        <f t="shared" si="30"/>
        <v>856.30321298579884</v>
      </c>
      <c r="O49" s="182">
        <f t="shared" si="30"/>
        <v>1032.101244845458</v>
      </c>
      <c r="P49" s="196">
        <f t="shared" si="30"/>
        <v>1194.4606706643472</v>
      </c>
    </row>
    <row r="50" spans="2:16" ht="15" customHeight="1" x14ac:dyDescent="0.3">
      <c r="B50" s="193"/>
      <c r="K50" s="47"/>
      <c r="P50" s="88"/>
    </row>
    <row r="51" spans="2:16" ht="15" customHeight="1" x14ac:dyDescent="0.3">
      <c r="B51" s="194" t="s">
        <v>549</v>
      </c>
      <c r="F51" s="62">
        <f>Sheet3!C34</f>
        <v>36.328000000000003</v>
      </c>
      <c r="G51" s="62">
        <f>Sheet3!D34</f>
        <v>46.52</v>
      </c>
      <c r="H51" s="62">
        <f>Sheet3!E34</f>
        <v>113.64700000000001</v>
      </c>
      <c r="I51" s="62">
        <f>Sheet3!F34</f>
        <v>119.998</v>
      </c>
      <c r="J51" s="62">
        <f>Sheet3!G34</f>
        <v>144.786</v>
      </c>
      <c r="K51" s="55">
        <f>Sheet3!H34</f>
        <v>182.43600000000001</v>
      </c>
      <c r="L51" s="62">
        <f>L52*L11/365</f>
        <v>262.14670093692479</v>
      </c>
      <c r="M51" s="62">
        <f t="shared" ref="M51:P51" si="31">M52*M11/365</f>
        <v>332.49896482298237</v>
      </c>
      <c r="N51" s="62">
        <f t="shared" si="31"/>
        <v>406.62885213246528</v>
      </c>
      <c r="O51" s="62">
        <f t="shared" si="31"/>
        <v>486.15156500263095</v>
      </c>
      <c r="P51" s="105">
        <f t="shared" si="31"/>
        <v>551.13928209642472</v>
      </c>
    </row>
    <row r="52" spans="2:16" ht="15" customHeight="1" x14ac:dyDescent="0.3">
      <c r="B52" s="190" t="s">
        <v>706</v>
      </c>
      <c r="F52" s="62">
        <f>F51/F11*365</f>
        <v>274.43745343157553</v>
      </c>
      <c r="G52" s="62">
        <f t="shared" ref="G52:K52" si="32">G51/G11*365</f>
        <v>225.25603608384191</v>
      </c>
      <c r="H52" s="62">
        <f t="shared" si="32"/>
        <v>351.11863043846273</v>
      </c>
      <c r="I52" s="62">
        <f t="shared" si="32"/>
        <v>252.96295012850504</v>
      </c>
      <c r="J52" s="62">
        <f t="shared" si="32"/>
        <v>225.53106409129319</v>
      </c>
      <c r="K52" s="55">
        <f t="shared" si="32"/>
        <v>235.3197654899937</v>
      </c>
      <c r="L52" s="191">
        <f>AVERAGE(G52:K52)</f>
        <v>258.03768924641929</v>
      </c>
      <c r="M52" s="191">
        <f>L52</f>
        <v>258.03768924641929</v>
      </c>
      <c r="N52" s="191">
        <f t="shared" ref="N52:P52" si="33">M52</f>
        <v>258.03768924641929</v>
      </c>
      <c r="O52" s="191">
        <f t="shared" si="33"/>
        <v>258.03768924641929</v>
      </c>
      <c r="P52" s="192">
        <f t="shared" si="33"/>
        <v>258.03768924641929</v>
      </c>
    </row>
    <row r="53" spans="2:16" ht="15" customHeight="1" x14ac:dyDescent="0.3">
      <c r="B53" s="193"/>
      <c r="K53" s="47"/>
      <c r="P53" s="88"/>
    </row>
    <row r="54" spans="2:16" ht="15" customHeight="1" x14ac:dyDescent="0.3">
      <c r="B54" s="194" t="s">
        <v>550</v>
      </c>
      <c r="F54" s="62">
        <f>Sheet3!C42</f>
        <v>94.391000000000005</v>
      </c>
      <c r="G54" s="62">
        <f>Sheet3!D42</f>
        <v>143.10900000000001</v>
      </c>
      <c r="H54" s="62">
        <f>Sheet3!E42</f>
        <v>203.185</v>
      </c>
      <c r="I54" s="62">
        <f>Sheet3!F42</f>
        <v>300.113</v>
      </c>
      <c r="J54" s="62">
        <f>Sheet3!G42</f>
        <v>426.36900000000003</v>
      </c>
      <c r="K54" s="55">
        <f>Sheet3!H42</f>
        <v>563.25400000000002</v>
      </c>
      <c r="L54" s="62">
        <f>L55*L8</f>
        <v>754.7613921743316</v>
      </c>
      <c r="M54" s="62">
        <f t="shared" ref="M54:P54" si="34">M55*M8</f>
        <v>961.57131417554342</v>
      </c>
      <c r="N54" s="62">
        <f t="shared" si="34"/>
        <v>1191.8426855658054</v>
      </c>
      <c r="O54" s="62">
        <f t="shared" si="34"/>
        <v>1437.8802774046908</v>
      </c>
      <c r="P54" s="105">
        <f t="shared" si="34"/>
        <v>1668.0022253681118</v>
      </c>
    </row>
    <row r="55" spans="2:16" ht="15" customHeight="1" x14ac:dyDescent="0.3">
      <c r="B55" s="190" t="s">
        <v>707</v>
      </c>
      <c r="F55" s="63">
        <f>F54/F$8</f>
        <v>0.78747757894297754</v>
      </c>
      <c r="G55" s="63">
        <f t="shared" ref="G55" si="35">G54/G$8</f>
        <v>0.57265360837118107</v>
      </c>
      <c r="H55" s="63">
        <f t="shared" ref="H55" si="36">H54/H$8</f>
        <v>0.47434894769403163</v>
      </c>
      <c r="I55" s="63">
        <f t="shared" ref="I55" si="37">I54/I$8</f>
        <v>0.45994329501915709</v>
      </c>
      <c r="J55" s="63">
        <f t="shared" ref="J55" si="38">J54/J$8</f>
        <v>0.4548421164924259</v>
      </c>
      <c r="K55" s="64">
        <f t="shared" ref="K55" si="39">K54/K$8</f>
        <v>0.4508917707332693</v>
      </c>
      <c r="L55" s="111">
        <f>AVERAGE(H55:K55)</f>
        <v>0.46000653248472101</v>
      </c>
      <c r="M55" s="111">
        <f>L55</f>
        <v>0.46000653248472101</v>
      </c>
      <c r="N55" s="111">
        <f t="shared" ref="N55:P55" si="40">M55</f>
        <v>0.46000653248472101</v>
      </c>
      <c r="O55" s="111">
        <f t="shared" si="40"/>
        <v>0.46000653248472101</v>
      </c>
      <c r="P55" s="112">
        <f t="shared" si="40"/>
        <v>0.46000653248472101</v>
      </c>
    </row>
    <row r="56" spans="2:16" ht="15" customHeight="1" x14ac:dyDescent="0.3">
      <c r="B56" s="193"/>
      <c r="K56" s="47"/>
      <c r="P56" s="88"/>
    </row>
    <row r="57" spans="2:16" ht="15" customHeight="1" x14ac:dyDescent="0.3">
      <c r="B57" s="195" t="s">
        <v>553</v>
      </c>
      <c r="C57" s="182"/>
      <c r="D57" s="182"/>
      <c r="E57" s="182"/>
      <c r="F57" s="182">
        <f>F51+F54</f>
        <v>130.71899999999999</v>
      </c>
      <c r="G57" s="182">
        <f t="shared" ref="G57:P57" si="41">G51+G54</f>
        <v>189.62900000000002</v>
      </c>
      <c r="H57" s="182">
        <f t="shared" si="41"/>
        <v>316.83199999999999</v>
      </c>
      <c r="I57" s="182">
        <f t="shared" si="41"/>
        <v>420.11099999999999</v>
      </c>
      <c r="J57" s="182">
        <f t="shared" si="41"/>
        <v>571.15499999999997</v>
      </c>
      <c r="K57" s="184">
        <f t="shared" si="41"/>
        <v>745.69</v>
      </c>
      <c r="L57" s="182">
        <f t="shared" si="41"/>
        <v>1016.9080931112564</v>
      </c>
      <c r="M57" s="182">
        <f t="shared" si="41"/>
        <v>1294.0702789985257</v>
      </c>
      <c r="N57" s="182">
        <f t="shared" si="41"/>
        <v>1598.4715376982706</v>
      </c>
      <c r="O57" s="182">
        <f t="shared" si="41"/>
        <v>1924.0318424073216</v>
      </c>
      <c r="P57" s="196">
        <f t="shared" si="41"/>
        <v>2219.1415074645365</v>
      </c>
    </row>
    <row r="58" spans="2:16" ht="15" customHeight="1" x14ac:dyDescent="0.3">
      <c r="B58" s="193"/>
      <c r="K58" s="47"/>
      <c r="P58" s="88"/>
    </row>
    <row r="59" spans="2:16" ht="15" customHeight="1" x14ac:dyDescent="0.3">
      <c r="B59" s="194" t="s">
        <v>708</v>
      </c>
      <c r="F59" s="133">
        <f>F49-F57</f>
        <v>-65.253999999999991</v>
      </c>
      <c r="G59" s="133">
        <f t="shared" ref="G59:P59" si="42">G49-G57</f>
        <v>-107.64800000000002</v>
      </c>
      <c r="H59" s="133">
        <f t="shared" si="42"/>
        <v>-149.25899999999999</v>
      </c>
      <c r="I59" s="133">
        <f t="shared" si="42"/>
        <v>-174.62700000000001</v>
      </c>
      <c r="J59" s="133">
        <f t="shared" si="42"/>
        <v>-387.08799999999997</v>
      </c>
      <c r="K59" s="137">
        <f t="shared" si="42"/>
        <v>-353.44000000000005</v>
      </c>
      <c r="L59" s="133">
        <f t="shared" si="42"/>
        <v>-473.61362032708075</v>
      </c>
      <c r="M59" s="133">
        <f t="shared" si="42"/>
        <v>-602.23451340391057</v>
      </c>
      <c r="N59" s="133">
        <f t="shared" si="42"/>
        <v>-742.16832471247176</v>
      </c>
      <c r="O59" s="133">
        <f t="shared" si="42"/>
        <v>-891.93059756186358</v>
      </c>
      <c r="P59" s="197">
        <f t="shared" si="42"/>
        <v>-1024.6808368001894</v>
      </c>
    </row>
    <row r="60" spans="2:16" ht="15" customHeight="1" thickBot="1" x14ac:dyDescent="0.35">
      <c r="B60" s="198" t="s">
        <v>709</v>
      </c>
      <c r="C60" s="123"/>
      <c r="D60" s="123"/>
      <c r="E60" s="123"/>
      <c r="F60" s="199"/>
      <c r="G60" s="199">
        <f>G59-F59</f>
        <v>-42.394000000000034</v>
      </c>
      <c r="H60" s="199">
        <f t="shared" ref="H60:K60" si="43">H59-G59</f>
        <v>-41.610999999999962</v>
      </c>
      <c r="I60" s="199">
        <f t="shared" si="43"/>
        <v>-25.368000000000023</v>
      </c>
      <c r="J60" s="199">
        <f t="shared" si="43"/>
        <v>-212.46099999999996</v>
      </c>
      <c r="K60" s="200">
        <f t="shared" si="43"/>
        <v>33.647999999999911</v>
      </c>
      <c r="L60" s="199">
        <f t="shared" ref="L60" si="44">L59-K59</f>
        <v>-120.1736203270807</v>
      </c>
      <c r="M60" s="199">
        <f t="shared" ref="M60" si="45">M59-L59</f>
        <v>-128.62089307682982</v>
      </c>
      <c r="N60" s="199">
        <f t="shared" ref="N60" si="46">N59-M59</f>
        <v>-139.93381130856119</v>
      </c>
      <c r="O60" s="199">
        <f t="shared" ref="O60" si="47">O59-N59</f>
        <v>-149.76227284939182</v>
      </c>
      <c r="P60" s="201">
        <f t="shared" ref="P60" si="48">P59-O59</f>
        <v>-132.75023923832578</v>
      </c>
    </row>
    <row r="61" spans="2:16" ht="15" customHeight="1" x14ac:dyDescent="0.3"/>
    <row r="62" spans="2:16" ht="15" customHeight="1" thickBot="1" x14ac:dyDescent="0.35"/>
    <row r="63" spans="2:16" ht="15" customHeight="1" x14ac:dyDescent="0.3">
      <c r="B63" s="202" t="s">
        <v>1053</v>
      </c>
      <c r="C63" s="84"/>
      <c r="D63" s="84"/>
      <c r="E63" s="84"/>
      <c r="F63" s="188">
        <f>-Sheet4!C24</f>
        <v>29.99</v>
      </c>
      <c r="G63" s="188">
        <f>-Sheet4!D24</f>
        <v>32.101999999999997</v>
      </c>
      <c r="H63" s="188">
        <f>-Sheet4!E24</f>
        <v>19.353000000000002</v>
      </c>
      <c r="I63" s="188">
        <f>-Sheet4!F24</f>
        <v>33.24</v>
      </c>
      <c r="J63" s="188">
        <f>-Sheet4!G24</f>
        <v>10.952999999999999</v>
      </c>
      <c r="K63" s="206">
        <f>-Sheet4!H24</f>
        <v>20.177</v>
      </c>
      <c r="L63" s="188">
        <f>L64*L8</f>
        <v>50.84713568741158</v>
      </c>
      <c r="M63" s="188">
        <f t="shared" ref="M63:P63" si="49">M64*M8</f>
        <v>64.779607955507871</v>
      </c>
      <c r="N63" s="188">
        <f t="shared" si="49"/>
        <v>80.292642654164766</v>
      </c>
      <c r="O63" s="188">
        <f t="shared" si="49"/>
        <v>96.867823825522578</v>
      </c>
      <c r="P63" s="189">
        <f t="shared" si="49"/>
        <v>112.37079209346609</v>
      </c>
    </row>
    <row r="64" spans="2:16" ht="15" customHeight="1" x14ac:dyDescent="0.3">
      <c r="B64" s="87" t="s">
        <v>707</v>
      </c>
      <c r="F64" s="63">
        <f>F63/F8</f>
        <v>0.25019813957368708</v>
      </c>
      <c r="G64" s="63">
        <f t="shared" ref="G64:K64" si="50">G63/G8</f>
        <v>0.12845681358916386</v>
      </c>
      <c r="H64" s="63">
        <f t="shared" si="50"/>
        <v>4.5180870559945838E-2</v>
      </c>
      <c r="I64" s="63">
        <f t="shared" si="50"/>
        <v>5.0942528735632188E-2</v>
      </c>
      <c r="J64" s="63">
        <f t="shared" si="50"/>
        <v>1.1684446340943034E-2</v>
      </c>
      <c r="K64" s="64">
        <f t="shared" si="50"/>
        <v>1.6151937239833491E-2</v>
      </c>
      <c r="L64" s="111">
        <f>AVERAGE(H64:K64)</f>
        <v>3.0989945719088641E-2</v>
      </c>
      <c r="M64" s="111">
        <f>L64</f>
        <v>3.0989945719088641E-2</v>
      </c>
      <c r="N64" s="111">
        <f t="shared" ref="N64:P64" si="51">M64</f>
        <v>3.0989945719088641E-2</v>
      </c>
      <c r="O64" s="111">
        <f t="shared" si="51"/>
        <v>3.0989945719088641E-2</v>
      </c>
      <c r="P64" s="112">
        <f t="shared" si="51"/>
        <v>3.0989945719088641E-2</v>
      </c>
    </row>
    <row r="65" spans="2:16" ht="15" customHeight="1" x14ac:dyDescent="0.3">
      <c r="B65" s="87"/>
      <c r="K65" s="47"/>
      <c r="P65" s="88"/>
    </row>
    <row r="66" spans="2:16" ht="15" customHeight="1" x14ac:dyDescent="0.3">
      <c r="B66" s="87" t="s">
        <v>485</v>
      </c>
      <c r="F66" s="62">
        <f>Sheet4!C8</f>
        <v>4.32</v>
      </c>
      <c r="G66" s="62">
        <f>Sheet4!D8</f>
        <v>10.738</v>
      </c>
      <c r="H66" s="62">
        <f>Sheet4!E8</f>
        <v>10.388</v>
      </c>
      <c r="I66" s="62">
        <f>Sheet4!F8</f>
        <v>11.768000000000001</v>
      </c>
      <c r="J66" s="62">
        <f>Sheet4!G8</f>
        <v>15.526</v>
      </c>
      <c r="K66" s="55">
        <f>Sheet4!H8</f>
        <v>20.649000000000001</v>
      </c>
      <c r="L66" s="62">
        <f>L67*L63</f>
        <v>42.351847567406473</v>
      </c>
      <c r="M66" s="62">
        <f t="shared" ref="M66:P66" si="52">M67*M63</f>
        <v>53.956551229831589</v>
      </c>
      <c r="N66" s="62">
        <f t="shared" si="52"/>
        <v>66.87774476380801</v>
      </c>
      <c r="O66" s="62">
        <f t="shared" si="52"/>
        <v>80.683626587457837</v>
      </c>
      <c r="P66" s="105">
        <f t="shared" si="52"/>
        <v>93.596435540211402</v>
      </c>
    </row>
    <row r="67" spans="2:16" ht="15" customHeight="1" thickBot="1" x14ac:dyDescent="0.35">
      <c r="B67" s="203" t="s">
        <v>1054</v>
      </c>
      <c r="C67" s="123"/>
      <c r="D67" s="123"/>
      <c r="E67" s="123"/>
      <c r="F67" s="128">
        <f>F66/F63</f>
        <v>0.14404801600533512</v>
      </c>
      <c r="G67" s="128">
        <f t="shared" ref="G67:K67" si="53">G66/G63</f>
        <v>0.3344962930658526</v>
      </c>
      <c r="H67" s="128">
        <f t="shared" si="53"/>
        <v>0.53676432594429802</v>
      </c>
      <c r="I67" s="128">
        <f t="shared" si="53"/>
        <v>0.35403128760529484</v>
      </c>
      <c r="J67" s="128">
        <f t="shared" si="53"/>
        <v>1.4175111841504611</v>
      </c>
      <c r="K67" s="130">
        <f t="shared" si="53"/>
        <v>1.0233929721960648</v>
      </c>
      <c r="L67" s="204">
        <f>AVERAGE(H67:K67)</f>
        <v>0.83292494247402971</v>
      </c>
      <c r="M67" s="204">
        <f>L67</f>
        <v>0.83292494247402971</v>
      </c>
      <c r="N67" s="204">
        <f t="shared" ref="N67:P67" si="54">M67</f>
        <v>0.83292494247402971</v>
      </c>
      <c r="O67" s="204">
        <f t="shared" si="54"/>
        <v>0.83292494247402971</v>
      </c>
      <c r="P67" s="205">
        <f t="shared" si="54"/>
        <v>0.83292494247402971</v>
      </c>
    </row>
    <row r="69" spans="2:16" ht="15" thickBot="1" x14ac:dyDescent="0.35"/>
    <row r="70" spans="2:16" x14ac:dyDescent="0.3">
      <c r="B70" s="202" t="s">
        <v>517</v>
      </c>
      <c r="C70" s="84"/>
      <c r="D70" s="84"/>
      <c r="E70" s="84"/>
      <c r="F70" s="188">
        <f>F26</f>
        <v>-219.60900000000001</v>
      </c>
      <c r="G70" s="188">
        <f t="shared" ref="G70:P70" si="55">G26</f>
        <v>-177.14699999999996</v>
      </c>
      <c r="H70" s="188">
        <f t="shared" si="55"/>
        <v>-76.974999999999994</v>
      </c>
      <c r="I70" s="188">
        <f t="shared" si="55"/>
        <v>-141.15899999999999</v>
      </c>
      <c r="J70" s="188">
        <f t="shared" si="55"/>
        <v>1.2699999999999818</v>
      </c>
      <c r="K70" s="206">
        <f t="shared" si="55"/>
        <v>113.55199999999991</v>
      </c>
      <c r="L70" s="188">
        <f t="shared" si="55"/>
        <v>195.25071781829251</v>
      </c>
      <c r="M70" s="188">
        <f t="shared" si="55"/>
        <v>273.83489855370749</v>
      </c>
      <c r="N70" s="188">
        <f t="shared" si="55"/>
        <v>388.6388349078693</v>
      </c>
      <c r="O70" s="188">
        <f t="shared" si="55"/>
        <v>515.7540796002811</v>
      </c>
      <c r="P70" s="189">
        <f t="shared" si="55"/>
        <v>649.06121382267338</v>
      </c>
    </row>
    <row r="71" spans="2:16" x14ac:dyDescent="0.3">
      <c r="B71" s="87"/>
      <c r="K71" s="47"/>
      <c r="P71" s="88"/>
    </row>
    <row r="72" spans="2:16" x14ac:dyDescent="0.3">
      <c r="B72" s="87" t="s">
        <v>1055</v>
      </c>
      <c r="F72" s="62">
        <f>F70-F33</f>
        <v>-219.94900000000001</v>
      </c>
      <c r="G72" s="62">
        <f t="shared" ref="G72:P72" si="56">G70-G33</f>
        <v>-177.23399999999995</v>
      </c>
      <c r="H72" s="62">
        <f t="shared" si="56"/>
        <v>-78.149000000000001</v>
      </c>
      <c r="I72" s="62">
        <f t="shared" si="56"/>
        <v>-144.74599999999998</v>
      </c>
      <c r="J72" s="62">
        <f t="shared" si="56"/>
        <v>-2.0730000000000182</v>
      </c>
      <c r="K72" s="55">
        <f t="shared" si="56"/>
        <v>109.05899999999991</v>
      </c>
      <c r="L72" s="62">
        <f t="shared" si="56"/>
        <v>185.48818192737789</v>
      </c>
      <c r="M72" s="62">
        <f t="shared" si="56"/>
        <v>260.14315362602213</v>
      </c>
      <c r="N72" s="62">
        <f t="shared" si="56"/>
        <v>369.20689316247581</v>
      </c>
      <c r="O72" s="62">
        <f t="shared" si="56"/>
        <v>489.96637562026706</v>
      </c>
      <c r="P72" s="105">
        <f t="shared" si="56"/>
        <v>616.60815313153967</v>
      </c>
    </row>
    <row r="73" spans="2:16" x14ac:dyDescent="0.3">
      <c r="B73" s="87" t="s">
        <v>1056</v>
      </c>
      <c r="F73" s="62">
        <f>F66</f>
        <v>4.32</v>
      </c>
      <c r="G73" s="62">
        <f t="shared" ref="G73:P73" si="57">G66</f>
        <v>10.738</v>
      </c>
      <c r="H73" s="62">
        <f t="shared" si="57"/>
        <v>10.388</v>
      </c>
      <c r="I73" s="62">
        <f t="shared" si="57"/>
        <v>11.768000000000001</v>
      </c>
      <c r="J73" s="62">
        <f t="shared" si="57"/>
        <v>15.526</v>
      </c>
      <c r="K73" s="55">
        <f t="shared" si="57"/>
        <v>20.649000000000001</v>
      </c>
      <c r="L73" s="62">
        <f t="shared" si="57"/>
        <v>42.351847567406473</v>
      </c>
      <c r="M73" s="62">
        <f t="shared" si="57"/>
        <v>53.956551229831589</v>
      </c>
      <c r="N73" s="62">
        <f t="shared" si="57"/>
        <v>66.87774476380801</v>
      </c>
      <c r="O73" s="62">
        <f t="shared" si="57"/>
        <v>80.683626587457837</v>
      </c>
      <c r="P73" s="105">
        <f t="shared" si="57"/>
        <v>93.596435540211402</v>
      </c>
    </row>
    <row r="74" spans="2:16" x14ac:dyDescent="0.3">
      <c r="B74" s="87" t="s">
        <v>1057</v>
      </c>
      <c r="F74" s="133">
        <f>F60</f>
        <v>0</v>
      </c>
      <c r="G74" s="133">
        <f t="shared" ref="G74:P74" si="58">G60</f>
        <v>-42.394000000000034</v>
      </c>
      <c r="H74" s="133">
        <f t="shared" si="58"/>
        <v>-41.610999999999962</v>
      </c>
      <c r="I74" s="133">
        <f t="shared" si="58"/>
        <v>-25.368000000000023</v>
      </c>
      <c r="J74" s="133">
        <f t="shared" si="58"/>
        <v>-212.46099999999996</v>
      </c>
      <c r="K74" s="137">
        <f t="shared" si="58"/>
        <v>33.647999999999911</v>
      </c>
      <c r="L74" s="133">
        <f t="shared" si="58"/>
        <v>-120.1736203270807</v>
      </c>
      <c r="M74" s="133">
        <f t="shared" si="58"/>
        <v>-128.62089307682982</v>
      </c>
      <c r="N74" s="133">
        <f t="shared" si="58"/>
        <v>-139.93381130856119</v>
      </c>
      <c r="O74" s="133">
        <f t="shared" si="58"/>
        <v>-149.76227284939182</v>
      </c>
      <c r="P74" s="197">
        <f t="shared" si="58"/>
        <v>-132.75023923832578</v>
      </c>
    </row>
    <row r="75" spans="2:16" x14ac:dyDescent="0.3">
      <c r="B75" s="87" t="s">
        <v>1058</v>
      </c>
      <c r="F75" s="62">
        <f>F63</f>
        <v>29.99</v>
      </c>
      <c r="G75" s="62">
        <f t="shared" ref="G75:P75" si="59">G63</f>
        <v>32.101999999999997</v>
      </c>
      <c r="H75" s="62">
        <f t="shared" si="59"/>
        <v>19.353000000000002</v>
      </c>
      <c r="I75" s="62">
        <f t="shared" si="59"/>
        <v>33.24</v>
      </c>
      <c r="J75" s="62">
        <f t="shared" si="59"/>
        <v>10.952999999999999</v>
      </c>
      <c r="K75" s="55">
        <f t="shared" si="59"/>
        <v>20.177</v>
      </c>
      <c r="L75" s="62">
        <f t="shared" si="59"/>
        <v>50.84713568741158</v>
      </c>
      <c r="M75" s="62">
        <f t="shared" si="59"/>
        <v>64.779607955507871</v>
      </c>
      <c r="N75" s="62">
        <f t="shared" si="59"/>
        <v>80.292642654164766</v>
      </c>
      <c r="O75" s="62">
        <f t="shared" si="59"/>
        <v>96.867823825522578</v>
      </c>
      <c r="P75" s="105">
        <f t="shared" si="59"/>
        <v>112.37079209346609</v>
      </c>
    </row>
    <row r="76" spans="2:16" x14ac:dyDescent="0.3">
      <c r="B76" s="87"/>
      <c r="K76" s="47"/>
      <c r="P76" s="88"/>
    </row>
    <row r="77" spans="2:16" ht="15" thickBot="1" x14ac:dyDescent="0.35">
      <c r="B77" s="220" t="s">
        <v>1059</v>
      </c>
      <c r="C77" s="221"/>
      <c r="D77" s="221"/>
      <c r="E77" s="221"/>
      <c r="F77" s="222">
        <f>F72+F73-F74-F75</f>
        <v>-245.61900000000003</v>
      </c>
      <c r="G77" s="222">
        <f t="shared" ref="G77:P77" si="60">G72+G73-G74-G75</f>
        <v>-156.20399999999992</v>
      </c>
      <c r="H77" s="222">
        <f t="shared" si="60"/>
        <v>-45.503000000000036</v>
      </c>
      <c r="I77" s="222">
        <f t="shared" si="60"/>
        <v>-140.84999999999997</v>
      </c>
      <c r="J77" s="222">
        <f t="shared" si="60"/>
        <v>214.96099999999993</v>
      </c>
      <c r="K77" s="223">
        <f t="shared" si="60"/>
        <v>75.88300000000001</v>
      </c>
      <c r="L77" s="222">
        <f t="shared" si="60"/>
        <v>297.16651413445351</v>
      </c>
      <c r="M77" s="222">
        <f t="shared" si="60"/>
        <v>377.94098997717566</v>
      </c>
      <c r="N77" s="222">
        <f t="shared" si="60"/>
        <v>495.72580658068023</v>
      </c>
      <c r="O77" s="222">
        <f t="shared" si="60"/>
        <v>623.54445123159417</v>
      </c>
      <c r="P77" s="224">
        <f t="shared" si="60"/>
        <v>730.58403581661071</v>
      </c>
    </row>
  </sheetData>
  <pageMargins left="0.7" right="0.7" top="0.75" bottom="0.75" header="0.3" footer="0.3"/>
  <pageSetup orientation="portrait" r:id="rId1"/>
  <ignoredErrors>
    <ignoredError sqref="H26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D35AD-BDFD-48B9-9F74-86902D06DEAD}">
  <dimension ref="B2:Q21"/>
  <sheetViews>
    <sheetView showGridLines="0" workbookViewId="0">
      <selection activeCell="I5" sqref="I5"/>
    </sheetView>
  </sheetViews>
  <sheetFormatPr defaultRowHeight="14.4" x14ac:dyDescent="0.3"/>
  <cols>
    <col min="2" max="2" width="23.6640625" bestFit="1" customWidth="1"/>
    <col min="3" max="3" width="8" bestFit="1" customWidth="1"/>
    <col min="9" max="9" width="11.6640625" bestFit="1" customWidth="1"/>
    <col min="10" max="10" width="10" bestFit="1" customWidth="1"/>
    <col min="11" max="12" width="10.109375" bestFit="1" customWidth="1"/>
    <col min="13" max="13" width="10.88671875" customWidth="1"/>
    <col min="14" max="14" width="10.109375" bestFit="1" customWidth="1"/>
    <col min="15" max="15" width="8.88671875" bestFit="1" customWidth="1"/>
    <col min="16" max="16" width="14.44140625" customWidth="1"/>
  </cols>
  <sheetData>
    <row r="2" spans="2:17" ht="15" thickBot="1" x14ac:dyDescent="0.35"/>
    <row r="3" spans="2:17" ht="15" thickBot="1" x14ac:dyDescent="0.35">
      <c r="B3" s="207" t="s">
        <v>1060</v>
      </c>
      <c r="C3" s="213"/>
      <c r="D3" s="43"/>
      <c r="E3" s="43"/>
      <c r="F3" s="43"/>
      <c r="G3" s="43"/>
      <c r="H3" s="43"/>
      <c r="I3" s="11"/>
      <c r="J3" s="11"/>
      <c r="K3" s="11"/>
      <c r="L3" s="11"/>
      <c r="M3" s="11" t="s">
        <v>1073</v>
      </c>
      <c r="N3" s="11"/>
      <c r="O3" s="11" t="s">
        <v>1074</v>
      </c>
      <c r="P3" s="43"/>
    </row>
    <row r="4" spans="2:17" x14ac:dyDescent="0.3">
      <c r="B4" s="87"/>
      <c r="C4" s="88"/>
      <c r="I4" s="11" t="s">
        <v>1075</v>
      </c>
      <c r="J4" s="11"/>
      <c r="K4" s="11" t="s">
        <v>1076</v>
      </c>
      <c r="L4" s="11" t="s">
        <v>1077</v>
      </c>
      <c r="M4" s="11" t="s">
        <v>1078</v>
      </c>
      <c r="N4" s="11" t="s">
        <v>1079</v>
      </c>
      <c r="O4" s="11" t="s">
        <v>1080</v>
      </c>
    </row>
    <row r="5" spans="2:17" x14ac:dyDescent="0.3">
      <c r="B5" s="229" t="s">
        <v>1062</v>
      </c>
      <c r="C5" s="88"/>
      <c r="I5" s="11" t="s">
        <v>1081</v>
      </c>
      <c r="J5" s="11" t="s">
        <v>1082</v>
      </c>
      <c r="K5" s="11" t="s">
        <v>1083</v>
      </c>
      <c r="L5" s="11" t="s">
        <v>1084</v>
      </c>
      <c r="M5" s="11" t="s">
        <v>1085</v>
      </c>
      <c r="N5" s="11" t="s">
        <v>1086</v>
      </c>
      <c r="O5" s="11" t="s">
        <v>1087</v>
      </c>
      <c r="P5" s="11" t="s">
        <v>1106</v>
      </c>
      <c r="Q5" s="11" t="s">
        <v>1107</v>
      </c>
    </row>
    <row r="6" spans="2:17" x14ac:dyDescent="0.3">
      <c r="B6" s="87" t="s">
        <v>1063</v>
      </c>
      <c r="C6" s="214">
        <v>4.2500000000000003E-2</v>
      </c>
      <c r="I6" s="26" t="s">
        <v>1088</v>
      </c>
      <c r="J6" s="26" t="s">
        <v>1089</v>
      </c>
      <c r="K6" s="26" t="s">
        <v>727</v>
      </c>
      <c r="L6" s="18">
        <v>21586.513672000001</v>
      </c>
      <c r="M6" s="211">
        <v>6.3532859999999997E-2</v>
      </c>
      <c r="N6" s="208">
        <v>12.340814999999999</v>
      </c>
      <c r="O6" s="33">
        <v>1.8131520000000001</v>
      </c>
      <c r="P6" s="66">
        <f>O6/(1+(0.75*0.064))</f>
        <v>1.7301068702290077</v>
      </c>
      <c r="Q6">
        <f>P12*(1+(1-0.21)*M12)</f>
        <v>1.9724952496288553</v>
      </c>
    </row>
    <row r="7" spans="2:17" x14ac:dyDescent="0.3">
      <c r="B7" s="87" t="s">
        <v>1064</v>
      </c>
      <c r="C7" s="102">
        <v>1.63</v>
      </c>
      <c r="I7" s="25" t="s">
        <v>1090</v>
      </c>
      <c r="J7" s="25" t="s">
        <v>1091</v>
      </c>
      <c r="K7" s="25" t="s">
        <v>1092</v>
      </c>
      <c r="L7" s="22">
        <v>89036.859375</v>
      </c>
      <c r="M7" s="212">
        <v>1.13473596</v>
      </c>
      <c r="N7" s="209">
        <v>18.597484000000001</v>
      </c>
      <c r="O7" s="34">
        <v>1.53532</v>
      </c>
      <c r="P7" s="66">
        <f>O7/(1+(1-0.21)*M7)</f>
        <v>0.80957945402348452</v>
      </c>
    </row>
    <row r="8" spans="2:17" x14ac:dyDescent="0.3">
      <c r="B8" s="87" t="s">
        <v>1065</v>
      </c>
      <c r="C8" s="214">
        <v>4.1799999999999997E-2</v>
      </c>
      <c r="I8" s="26" t="s">
        <v>1093</v>
      </c>
      <c r="J8" s="26" t="s">
        <v>1094</v>
      </c>
      <c r="K8" s="26" t="s">
        <v>1095</v>
      </c>
      <c r="L8" s="18">
        <v>181596.5625</v>
      </c>
      <c r="M8" s="211">
        <v>0.21254756</v>
      </c>
      <c r="N8" s="208">
        <v>12.086945</v>
      </c>
      <c r="O8" s="33">
        <v>1.505298</v>
      </c>
      <c r="P8" s="66">
        <f>O8/(1+(1-0.21)*M8)</f>
        <v>1.288879009930247</v>
      </c>
    </row>
    <row r="9" spans="2:17" x14ac:dyDescent="0.3">
      <c r="B9" s="87" t="s">
        <v>1061</v>
      </c>
      <c r="C9" s="214">
        <f>C6+C7*C8</f>
        <v>0.11063399999999998</v>
      </c>
      <c r="I9" s="25" t="s">
        <v>1096</v>
      </c>
      <c r="J9" s="25" t="s">
        <v>1097</v>
      </c>
      <c r="K9" s="25" t="s">
        <v>1098</v>
      </c>
      <c r="L9" s="22">
        <v>50194.328125</v>
      </c>
      <c r="M9" s="212">
        <v>0.99850105999999994</v>
      </c>
      <c r="N9" s="209">
        <v>15.446996</v>
      </c>
      <c r="O9" s="34">
        <v>1.855119</v>
      </c>
      <c r="P9" s="66">
        <f>O9/(1+(1-0.21)*M9)</f>
        <v>1.0370653933254359</v>
      </c>
    </row>
    <row r="10" spans="2:17" x14ac:dyDescent="0.3">
      <c r="B10" s="87"/>
      <c r="C10" s="88"/>
      <c r="I10" s="26" t="s">
        <v>1099</v>
      </c>
      <c r="J10" s="26" t="s">
        <v>1100</v>
      </c>
      <c r="K10" s="26" t="s">
        <v>1095</v>
      </c>
      <c r="L10" s="18">
        <v>81039.265625</v>
      </c>
      <c r="M10" s="211">
        <v>2.5996357899999998</v>
      </c>
      <c r="N10" s="208">
        <v>32.441214000000002</v>
      </c>
      <c r="O10" s="33">
        <v>2.437837</v>
      </c>
      <c r="P10" s="66">
        <f>O10/(1+(1-0.21)*M10)</f>
        <v>0.79831915425577782</v>
      </c>
    </row>
    <row r="11" spans="2:17" x14ac:dyDescent="0.3">
      <c r="B11" s="229" t="s">
        <v>1066</v>
      </c>
      <c r="C11" s="88"/>
      <c r="I11" s="25" t="s">
        <v>1101</v>
      </c>
      <c r="J11" s="25" t="s">
        <v>1102</v>
      </c>
      <c r="K11" s="25" t="s">
        <v>1103</v>
      </c>
      <c r="L11" s="22">
        <v>8258.0927730000003</v>
      </c>
      <c r="M11" s="212">
        <v>0.10584898000000001</v>
      </c>
      <c r="N11" s="209">
        <v>5.9089070000000001</v>
      </c>
      <c r="O11" s="34">
        <v>2.1235279999999999</v>
      </c>
      <c r="P11" s="66">
        <f>O11/(1+(1-0.21)*M11)</f>
        <v>1.9596598804046723</v>
      </c>
    </row>
    <row r="12" spans="2:17" x14ac:dyDescent="0.3">
      <c r="B12" s="87" t="s">
        <v>1067</v>
      </c>
      <c r="C12" s="214">
        <v>5.5800000000000002E-2</v>
      </c>
      <c r="I12" s="26" t="s">
        <v>1104</v>
      </c>
      <c r="J12" s="26"/>
      <c r="K12" s="26"/>
      <c r="L12" s="26"/>
      <c r="M12" s="211">
        <v>0.85246703000000001</v>
      </c>
      <c r="N12" s="208">
        <v>16.137060000000002</v>
      </c>
      <c r="O12" s="33">
        <v>1.878376</v>
      </c>
      <c r="P12" s="66">
        <f>AVERAGE(P7:P11)</f>
        <v>1.1787005783879234</v>
      </c>
    </row>
    <row r="13" spans="2:17" x14ac:dyDescent="0.3">
      <c r="B13" s="87" t="s">
        <v>1068</v>
      </c>
      <c r="C13" s="112">
        <v>0.21</v>
      </c>
      <c r="I13" s="25" t="s">
        <v>1105</v>
      </c>
      <c r="J13" s="25"/>
      <c r="K13" s="25"/>
      <c r="L13" s="25"/>
      <c r="M13" s="212">
        <v>0.60552430999999995</v>
      </c>
      <c r="N13" s="209">
        <v>13.893905</v>
      </c>
      <c r="O13" s="34">
        <v>1.8341350000000001</v>
      </c>
      <c r="P13" s="66">
        <f>MEDIAN(P7:P12)</f>
        <v>1.1078829858566797</v>
      </c>
    </row>
    <row r="14" spans="2:17" x14ac:dyDescent="0.3">
      <c r="B14" s="87" t="s">
        <v>1069</v>
      </c>
      <c r="C14" s="214">
        <v>4.41E-2</v>
      </c>
    </row>
    <row r="15" spans="2:17" x14ac:dyDescent="0.3">
      <c r="B15" s="87"/>
      <c r="C15" s="88"/>
      <c r="M15" s="210"/>
      <c r="P15" s="210"/>
    </row>
    <row r="16" spans="2:17" x14ac:dyDescent="0.3">
      <c r="B16" s="229" t="s">
        <v>1070</v>
      </c>
      <c r="C16" s="88"/>
    </row>
    <row r="17" spans="2:3" x14ac:dyDescent="0.3">
      <c r="B17" s="87" t="s">
        <v>1071</v>
      </c>
      <c r="C17" s="214">
        <v>5.6599999999999998E-2</v>
      </c>
    </row>
    <row r="18" spans="2:3" x14ac:dyDescent="0.3">
      <c r="B18" s="87" t="s">
        <v>1072</v>
      </c>
      <c r="C18" s="214">
        <f>1-C17</f>
        <v>0.94340000000000002</v>
      </c>
    </row>
    <row r="19" spans="2:3" x14ac:dyDescent="0.3">
      <c r="B19" s="87"/>
      <c r="C19" s="88"/>
    </row>
    <row r="20" spans="2:3" ht="15" thickBot="1" x14ac:dyDescent="0.35">
      <c r="B20" s="203" t="s">
        <v>1060</v>
      </c>
      <c r="C20" s="215">
        <f>C18*C9+C17*C14</f>
        <v>0.10686817559999998</v>
      </c>
    </row>
    <row r="21" spans="2:3" x14ac:dyDescent="0.3">
      <c r="B21" s="87" t="s">
        <v>1123</v>
      </c>
      <c r="C21" s="230">
        <v>0.11550000000000001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4F76C-1D83-4EFD-9818-B7AABD6A3911}">
  <dimension ref="B2:Q24"/>
  <sheetViews>
    <sheetView showGridLines="0" tabSelected="1" workbookViewId="0">
      <selection activeCell="M15" sqref="M15"/>
    </sheetView>
  </sheetViews>
  <sheetFormatPr defaultRowHeight="14.4" x14ac:dyDescent="0.3"/>
  <cols>
    <col min="3" max="3" width="34.6640625" customWidth="1"/>
  </cols>
  <sheetData>
    <row r="2" spans="2:17" x14ac:dyDescent="0.3">
      <c r="B2" s="41" t="s">
        <v>650</v>
      </c>
      <c r="C2" s="43"/>
      <c r="D2" s="43"/>
      <c r="E2" s="43"/>
      <c r="F2" s="43"/>
      <c r="G2" s="43"/>
      <c r="H2" s="43"/>
      <c r="I2" s="43"/>
      <c r="J2" s="43"/>
      <c r="K2" s="44"/>
      <c r="L2" s="43"/>
      <c r="M2" s="43"/>
      <c r="N2" s="43"/>
      <c r="O2" s="43"/>
      <c r="P2" s="43"/>
    </row>
    <row r="3" spans="2:17" x14ac:dyDescent="0.3">
      <c r="B3" s="43" t="s">
        <v>651</v>
      </c>
      <c r="C3" s="43"/>
      <c r="D3" s="43"/>
      <c r="E3" s="48"/>
      <c r="F3" s="48"/>
      <c r="G3" s="48"/>
      <c r="H3" s="51" t="s">
        <v>700</v>
      </c>
      <c r="I3" s="49"/>
      <c r="J3" s="48"/>
      <c r="K3" s="50"/>
      <c r="L3" s="48"/>
      <c r="M3" s="48"/>
      <c r="N3" s="51" t="s">
        <v>612</v>
      </c>
      <c r="O3" s="48"/>
      <c r="P3" s="48"/>
    </row>
    <row r="4" spans="2:17" x14ac:dyDescent="0.3">
      <c r="B4" s="43"/>
      <c r="C4" s="59"/>
      <c r="D4" s="43"/>
      <c r="E4" s="60" t="s">
        <v>613</v>
      </c>
      <c r="F4" s="61" t="s">
        <v>619</v>
      </c>
      <c r="G4" s="61" t="s">
        <v>620</v>
      </c>
      <c r="H4" s="61" t="s">
        <v>621</v>
      </c>
      <c r="I4" s="61" t="s">
        <v>622</v>
      </c>
      <c r="J4" s="61" t="s">
        <v>623</v>
      </c>
      <c r="K4" s="131" t="s">
        <v>624</v>
      </c>
      <c r="L4" s="61" t="s">
        <v>695</v>
      </c>
      <c r="M4" s="61" t="s">
        <v>696</v>
      </c>
      <c r="N4" s="61" t="s">
        <v>697</v>
      </c>
      <c r="O4" s="61" t="s">
        <v>698</v>
      </c>
      <c r="P4" s="61" t="s">
        <v>699</v>
      </c>
    </row>
    <row r="5" spans="2:17" x14ac:dyDescent="0.3">
      <c r="E5" s="62"/>
      <c r="F5" s="62"/>
      <c r="G5" s="62"/>
      <c r="H5" s="62"/>
      <c r="I5" s="62"/>
      <c r="J5" s="62"/>
      <c r="K5" s="55"/>
      <c r="L5" s="62"/>
      <c r="M5" s="62"/>
      <c r="N5" s="62"/>
      <c r="O5" s="62"/>
      <c r="P5" s="62"/>
      <c r="Q5" s="62"/>
    </row>
    <row r="6" spans="2:17" x14ac:dyDescent="0.3">
      <c r="C6" t="s">
        <v>1059</v>
      </c>
      <c r="D6" s="216"/>
      <c r="E6" s="62"/>
      <c r="F6" s="62">
        <f>'Operating Model'!F77</f>
        <v>-245.61900000000003</v>
      </c>
      <c r="G6" s="62">
        <f>'Operating Model'!G77</f>
        <v>-156.20399999999992</v>
      </c>
      <c r="H6" s="62">
        <f>'Operating Model'!H77</f>
        <v>-45.503000000000036</v>
      </c>
      <c r="I6" s="62">
        <f>'Operating Model'!I77</f>
        <v>-140.84999999999997</v>
      </c>
      <c r="J6" s="62">
        <f>'Operating Model'!J77</f>
        <v>214.96099999999993</v>
      </c>
      <c r="K6" s="55">
        <f>'Operating Model'!K77</f>
        <v>75.88300000000001</v>
      </c>
      <c r="L6" s="62">
        <f>'Operating Model'!L77</f>
        <v>297.16651413445351</v>
      </c>
      <c r="M6" s="62">
        <f>'Operating Model'!M77</f>
        <v>377.94098997717566</v>
      </c>
      <c r="N6" s="62">
        <f>'Operating Model'!N77</f>
        <v>495.72580658068023</v>
      </c>
      <c r="O6" s="62">
        <f>'Operating Model'!O77</f>
        <v>623.54445123159417</v>
      </c>
      <c r="P6" s="62">
        <f>'Operating Model'!P77</f>
        <v>730.58403581661071</v>
      </c>
      <c r="Q6" s="62"/>
    </row>
    <row r="7" spans="2:17" x14ac:dyDescent="0.3">
      <c r="C7" t="s">
        <v>1083</v>
      </c>
      <c r="E7" s="62"/>
      <c r="F7" s="62"/>
      <c r="G7" s="62"/>
      <c r="H7" s="62"/>
      <c r="I7" s="62"/>
      <c r="J7" s="62"/>
      <c r="K7" s="55"/>
      <c r="L7" s="62">
        <v>1</v>
      </c>
      <c r="M7" s="62">
        <v>2</v>
      </c>
      <c r="N7" s="62">
        <v>3</v>
      </c>
      <c r="O7" s="62">
        <v>4</v>
      </c>
      <c r="P7" s="62">
        <v>5</v>
      </c>
      <c r="Q7" s="62"/>
    </row>
    <row r="8" spans="2:17" x14ac:dyDescent="0.3">
      <c r="C8" t="s">
        <v>1108</v>
      </c>
      <c r="E8" s="62"/>
      <c r="F8" s="62"/>
      <c r="G8" s="62"/>
      <c r="H8" s="62"/>
      <c r="I8" s="62"/>
      <c r="J8" s="62"/>
      <c r="K8" s="55"/>
      <c r="L8" s="66">
        <f>1/((1+WACC!$C$20)^DCF!L7)</f>
        <v>0.90344995189506638</v>
      </c>
      <c r="M8" s="66">
        <f>1/((1+WACC!$C$20)^DCF!M7)</f>
        <v>0.81622181557919793</v>
      </c>
      <c r="N8" s="66">
        <f>1/((1+WACC!$C$20)^DCF!N7)</f>
        <v>0.73741556002073005</v>
      </c>
      <c r="O8" s="66">
        <f>1/((1+WACC!$C$20)^DCF!O7)</f>
        <v>0.66621805222740216</v>
      </c>
      <c r="P8" s="66">
        <f>1/((1+WACC!$C$20)^DCF!P7)</f>
        <v>0.60189466723647134</v>
      </c>
      <c r="Q8" s="62"/>
    </row>
    <row r="9" spans="2:17" x14ac:dyDescent="0.3">
      <c r="C9" t="s">
        <v>1109</v>
      </c>
      <c r="E9" s="62"/>
      <c r="F9" s="62"/>
      <c r="G9" s="62"/>
      <c r="H9" s="62"/>
      <c r="I9" s="62"/>
      <c r="J9" s="62"/>
      <c r="K9" s="55"/>
      <c r="L9" s="62">
        <f>L8*L6</f>
        <v>268.47507289959657</v>
      </c>
      <c r="M9" s="62">
        <f t="shared" ref="M9:P9" si="0">M8*M6</f>
        <v>308.48368102096975</v>
      </c>
      <c r="N9" s="62">
        <f t="shared" si="0"/>
        <v>365.5559232764204</v>
      </c>
      <c r="O9" s="62">
        <f t="shared" si="0"/>
        <v>415.41656977671704</v>
      </c>
      <c r="P9" s="62">
        <f t="shared" si="0"/>
        <v>439.73463512611715</v>
      </c>
      <c r="Q9" s="62"/>
    </row>
    <row r="10" spans="2:17" x14ac:dyDescent="0.3"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</row>
    <row r="11" spans="2:17" ht="15" thickBot="1" x14ac:dyDescent="0.35"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</row>
    <row r="12" spans="2:17" x14ac:dyDescent="0.3">
      <c r="C12" s="217" t="s">
        <v>1110</v>
      </c>
      <c r="D12" s="218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</row>
    <row r="13" spans="2:17" x14ac:dyDescent="0.3">
      <c r="C13" s="87" t="s">
        <v>1111</v>
      </c>
      <c r="D13" s="219" t="s">
        <v>1122</v>
      </c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</row>
    <row r="14" spans="2:17" x14ac:dyDescent="0.3">
      <c r="C14" s="87" t="s">
        <v>1121</v>
      </c>
      <c r="D14" s="105">
        <f>'Operating Model'!P8</f>
        <v>3626.0403006853257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</row>
    <row r="15" spans="2:17" x14ac:dyDescent="0.3">
      <c r="C15" s="87" t="s">
        <v>1112</v>
      </c>
      <c r="D15" s="105">
        <f>14*D14</f>
        <v>50764.564209594559</v>
      </c>
    </row>
    <row r="16" spans="2:17" x14ac:dyDescent="0.3">
      <c r="C16" s="87" t="s">
        <v>1113</v>
      </c>
      <c r="D16" s="105">
        <f>D15/(1+WACC!C20)^5</f>
        <v>30554.920482338403</v>
      </c>
    </row>
    <row r="17" spans="3:4" x14ac:dyDescent="0.3">
      <c r="C17" s="87" t="s">
        <v>1114</v>
      </c>
      <c r="D17" s="105">
        <f>D16+SUM(L9:P9)</f>
        <v>32352.586364438223</v>
      </c>
    </row>
    <row r="18" spans="3:4" x14ac:dyDescent="0.3">
      <c r="C18" s="87" t="s">
        <v>1115</v>
      </c>
      <c r="D18" s="105">
        <f>Sheet3!H47</f>
        <v>64.622</v>
      </c>
    </row>
    <row r="19" spans="3:4" x14ac:dyDescent="0.3">
      <c r="C19" s="87" t="s">
        <v>1116</v>
      </c>
      <c r="D19" s="105">
        <f>Sheet3!H7</f>
        <v>694.798</v>
      </c>
    </row>
    <row r="20" spans="3:4" x14ac:dyDescent="0.3">
      <c r="C20" s="87" t="s">
        <v>1117</v>
      </c>
      <c r="D20" s="105">
        <f>D17-D18+D19</f>
        <v>32982.762364438226</v>
      </c>
    </row>
    <row r="21" spans="3:4" x14ac:dyDescent="0.3">
      <c r="C21" s="87" t="s">
        <v>947</v>
      </c>
      <c r="D21" s="105">
        <v>599.09</v>
      </c>
    </row>
    <row r="22" spans="3:4" x14ac:dyDescent="0.3">
      <c r="C22" s="87" t="s">
        <v>1118</v>
      </c>
      <c r="D22" s="105">
        <f>D20/D21</f>
        <v>55.054770342416369</v>
      </c>
    </row>
    <row r="23" spans="3:4" x14ac:dyDescent="0.3">
      <c r="C23" s="87" t="s">
        <v>1119</v>
      </c>
      <c r="D23" s="105">
        <v>24.5</v>
      </c>
    </row>
    <row r="24" spans="3:4" ht="15" thickBot="1" x14ac:dyDescent="0.35">
      <c r="C24" s="203" t="s">
        <v>1120</v>
      </c>
      <c r="D24" s="225">
        <f>D22/D23-1</f>
        <v>1.2471334833639336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2"/>
  <sheetViews>
    <sheetView zoomScaleNormal="100" workbookViewId="0">
      <selection activeCell="M1" sqref="M1:N1048576"/>
    </sheetView>
  </sheetViews>
  <sheetFormatPr defaultRowHeight="14.4" x14ac:dyDescent="0.3"/>
  <cols>
    <col min="1" max="1" width="34.33203125" customWidth="1"/>
    <col min="2" max="4" width="0" hidden="1" customWidth="1"/>
    <col min="5" max="12" width="19" customWidth="1"/>
    <col min="13" max="14" width="19" hidden="1" customWidth="1"/>
  </cols>
  <sheetData>
    <row r="1" spans="1:19" ht="2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9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9" x14ac:dyDescent="0.3">
      <c r="A3" s="3" t="s">
        <v>2</v>
      </c>
      <c r="B3" s="3"/>
      <c r="C3" s="3"/>
      <c r="D3" s="3"/>
      <c r="E3" s="3" t="s">
        <v>457</v>
      </c>
      <c r="F3" s="3" t="s">
        <v>458</v>
      </c>
      <c r="G3" s="3" t="s">
        <v>459</v>
      </c>
      <c r="H3" s="3" t="s">
        <v>460</v>
      </c>
      <c r="I3" s="3" t="s">
        <v>461</v>
      </c>
      <c r="J3" s="3" t="s">
        <v>462</v>
      </c>
      <c r="K3" s="3" t="s">
        <v>463</v>
      </c>
      <c r="L3" s="3" t="s">
        <v>464</v>
      </c>
      <c r="M3" s="3" t="s">
        <v>465</v>
      </c>
      <c r="N3" s="3" t="s">
        <v>466</v>
      </c>
    </row>
    <row r="4" spans="1:19" x14ac:dyDescent="0.3">
      <c r="A4" s="7" t="s">
        <v>3</v>
      </c>
      <c r="B4" s="7" t="s">
        <v>4</v>
      </c>
      <c r="C4" s="7" t="s">
        <v>5</v>
      </c>
      <c r="D4" s="7" t="s">
        <v>6</v>
      </c>
      <c r="E4" s="1">
        <v>43130</v>
      </c>
      <c r="F4" s="1">
        <v>43495</v>
      </c>
      <c r="G4" s="1">
        <v>43862</v>
      </c>
      <c r="H4" s="1">
        <v>44226</v>
      </c>
      <c r="I4" s="1">
        <v>44590</v>
      </c>
      <c r="J4" s="1">
        <v>44954</v>
      </c>
      <c r="K4" s="1">
        <v>45325</v>
      </c>
      <c r="L4" s="1">
        <v>45689</v>
      </c>
      <c r="M4" s="1">
        <v>46053</v>
      </c>
      <c r="N4" s="1">
        <v>46417</v>
      </c>
    </row>
    <row r="5" spans="1:19" x14ac:dyDescent="0.3">
      <c r="A5" s="8" t="s">
        <v>7</v>
      </c>
      <c r="B5" s="4"/>
      <c r="C5" s="4"/>
      <c r="D5" s="4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9" x14ac:dyDescent="0.3">
      <c r="A6" s="8" t="s">
        <v>8</v>
      </c>
      <c r="B6" s="4" t="s">
        <v>9</v>
      </c>
      <c r="C6" s="4" t="s">
        <v>10</v>
      </c>
      <c r="D6" s="4"/>
      <c r="E6" s="9" t="s">
        <v>467</v>
      </c>
      <c r="F6" s="9" t="s">
        <v>467</v>
      </c>
      <c r="G6" s="9" t="s">
        <v>467</v>
      </c>
      <c r="H6" s="9" t="s">
        <v>467</v>
      </c>
      <c r="I6" s="9">
        <v>-0.42</v>
      </c>
      <c r="J6" s="9">
        <v>-0.13</v>
      </c>
      <c r="K6" s="9">
        <v>7.0000000000000007E-2</v>
      </c>
      <c r="L6" s="9">
        <v>0.26</v>
      </c>
      <c r="M6" s="9">
        <v>0.46777777777777768</v>
      </c>
      <c r="N6" s="9">
        <v>0.56105263157894747</v>
      </c>
    </row>
    <row r="7" spans="1:19" x14ac:dyDescent="0.3">
      <c r="A7" s="8" t="s">
        <v>11</v>
      </c>
      <c r="B7" s="4" t="s">
        <v>12</v>
      </c>
      <c r="C7" s="4" t="s">
        <v>13</v>
      </c>
      <c r="D7" s="4"/>
      <c r="E7" s="9" t="s">
        <v>467</v>
      </c>
      <c r="F7" s="9" t="s">
        <v>467</v>
      </c>
      <c r="G7" s="9">
        <v>119.86499999999999</v>
      </c>
      <c r="H7" s="9">
        <v>249.905</v>
      </c>
      <c r="I7" s="9">
        <v>428.34500000000003</v>
      </c>
      <c r="J7" s="9">
        <v>652.54499999999996</v>
      </c>
      <c r="K7" s="9">
        <v>937.4</v>
      </c>
      <c r="L7" s="9">
        <v>1249.1990000000001</v>
      </c>
      <c r="M7" s="9">
        <v>1577.0555555555557</v>
      </c>
      <c r="N7" s="9">
        <v>1900.6315789473683</v>
      </c>
    </row>
    <row r="8" spans="1:19" x14ac:dyDescent="0.3">
      <c r="A8" s="8" t="s">
        <v>14</v>
      </c>
      <c r="B8" s="4"/>
      <c r="C8" s="4"/>
      <c r="D8" s="4"/>
      <c r="E8" s="9"/>
      <c r="F8" s="9"/>
      <c r="G8" s="9"/>
      <c r="H8" s="9"/>
      <c r="I8" s="9"/>
      <c r="J8" s="9"/>
      <c r="K8" s="9"/>
      <c r="L8" s="9"/>
      <c r="M8" s="9"/>
      <c r="N8" s="9"/>
      <c r="O8">
        <f>J7/J9</f>
        <v>0.82075660364780711</v>
      </c>
      <c r="P8">
        <f t="shared" ref="P8:R8" si="0">K7/K9</f>
        <v>0.85064987508859047</v>
      </c>
      <c r="Q8">
        <f t="shared" si="0"/>
        <v>0.85686642627012455</v>
      </c>
      <c r="R8">
        <f t="shared" si="0"/>
        <v>0.85947265542534745</v>
      </c>
      <c r="S8">
        <f>N7/N9</f>
        <v>0.85567273589463533</v>
      </c>
    </row>
    <row r="9" spans="1:19" x14ac:dyDescent="0.3">
      <c r="A9" s="8" t="s">
        <v>15</v>
      </c>
      <c r="B9" s="4" t="s">
        <v>16</v>
      </c>
      <c r="C9" s="4" t="s">
        <v>17</v>
      </c>
      <c r="D9" s="4"/>
      <c r="E9" s="9" t="s">
        <v>467</v>
      </c>
      <c r="F9" s="9" t="s">
        <v>467</v>
      </c>
      <c r="G9" s="9">
        <v>194</v>
      </c>
      <c r="H9" s="9">
        <v>341</v>
      </c>
      <c r="I9" s="9">
        <v>558</v>
      </c>
      <c r="J9" s="9">
        <v>795.053</v>
      </c>
      <c r="K9" s="9">
        <v>1101.981</v>
      </c>
      <c r="L9" s="9">
        <v>1457.8689999999999</v>
      </c>
      <c r="M9" s="9">
        <v>1834.9106811025665</v>
      </c>
      <c r="N9" s="9">
        <v>2221.213203620649</v>
      </c>
      <c r="O9">
        <f>I7/H9</f>
        <v>1.2561436950146629</v>
      </c>
      <c r="P9">
        <f t="shared" ref="P9:S9" si="1">J7/I9</f>
        <v>1.1694354838709677</v>
      </c>
      <c r="Q9">
        <f t="shared" si="1"/>
        <v>1.1790408941290706</v>
      </c>
      <c r="R9">
        <f t="shared" si="1"/>
        <v>1.1335939548866996</v>
      </c>
      <c r="S9">
        <f t="shared" si="1"/>
        <v>1.081753954268563</v>
      </c>
    </row>
    <row r="10" spans="1:19" x14ac:dyDescent="0.3">
      <c r="A10" s="8" t="s">
        <v>14</v>
      </c>
      <c r="B10" s="4"/>
      <c r="C10" s="4"/>
      <c r="D10" s="4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1:19" x14ac:dyDescent="0.3">
      <c r="A11" s="8" t="s">
        <v>18</v>
      </c>
      <c r="B11" s="4" t="s">
        <v>19</v>
      </c>
      <c r="C11" s="4" t="s">
        <v>20</v>
      </c>
      <c r="D11" s="4"/>
      <c r="E11" s="9" t="s">
        <v>467</v>
      </c>
      <c r="F11" s="9" t="s">
        <v>467</v>
      </c>
      <c r="G11" s="9" t="s">
        <v>467</v>
      </c>
      <c r="H11" s="9" t="s">
        <v>467</v>
      </c>
      <c r="I11" s="9">
        <v>72</v>
      </c>
      <c r="J11" s="9">
        <v>73</v>
      </c>
      <c r="K11" s="9">
        <v>75</v>
      </c>
      <c r="L11" s="9">
        <v>77</v>
      </c>
      <c r="M11" s="9">
        <v>77.468031384845602</v>
      </c>
      <c r="N11" s="9">
        <v>77.348724216192011</v>
      </c>
    </row>
    <row r="12" spans="1:19" x14ac:dyDescent="0.3">
      <c r="A12" s="8" t="s">
        <v>21</v>
      </c>
      <c r="B12" s="4" t="s">
        <v>22</v>
      </c>
      <c r="C12" s="4" t="s">
        <v>23</v>
      </c>
      <c r="D12" s="4"/>
      <c r="E12" s="9" t="s">
        <v>467</v>
      </c>
      <c r="F12" s="9" t="s">
        <v>467</v>
      </c>
      <c r="G12" s="9" t="s">
        <v>467</v>
      </c>
      <c r="H12" s="9" t="s">
        <v>467</v>
      </c>
      <c r="I12" s="9">
        <v>-114.078</v>
      </c>
      <c r="J12" s="9">
        <v>-76.974999999999994</v>
      </c>
      <c r="K12" s="9">
        <v>1.27</v>
      </c>
      <c r="L12" s="9">
        <v>113.55200000000001</v>
      </c>
      <c r="M12" s="9">
        <v>235.88235294117646</v>
      </c>
      <c r="N12" s="9">
        <v>306</v>
      </c>
    </row>
    <row r="13" spans="1:19" x14ac:dyDescent="0.3">
      <c r="A13" s="8" t="s">
        <v>24</v>
      </c>
      <c r="B13" s="4" t="s">
        <v>25</v>
      </c>
      <c r="C13" s="4" t="s">
        <v>26</v>
      </c>
      <c r="D13" s="4"/>
      <c r="E13" s="9" t="s">
        <v>467</v>
      </c>
      <c r="F13" s="9" t="s">
        <v>467</v>
      </c>
      <c r="G13" s="9">
        <v>-183.21361531723187</v>
      </c>
      <c r="H13" s="9">
        <v>-70.885736579900367</v>
      </c>
      <c r="I13" s="9">
        <v>-26.542623352671331</v>
      </c>
      <c r="J13" s="9">
        <v>-11.796121340290707</v>
      </c>
      <c r="K13" s="9">
        <v>0.13548328594974315</v>
      </c>
      <c r="L13" s="9">
        <v>9.0899848622997617</v>
      </c>
      <c r="M13" s="9">
        <v>14.941851736526363</v>
      </c>
      <c r="N13" s="9">
        <v>15.962708365351414</v>
      </c>
    </row>
    <row r="14" spans="1:19" x14ac:dyDescent="0.3">
      <c r="A14" s="8" t="s">
        <v>14</v>
      </c>
      <c r="B14" s="4"/>
      <c r="C14" s="4"/>
      <c r="D14" s="4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spans="1:19" x14ac:dyDescent="0.3">
      <c r="A15" s="8" t="s">
        <v>27</v>
      </c>
      <c r="B15" s="4"/>
      <c r="C15" s="4"/>
      <c r="D15" s="4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spans="1:19" x14ac:dyDescent="0.3">
      <c r="A16" s="8" t="s">
        <v>28</v>
      </c>
      <c r="B16" s="4"/>
      <c r="C16" s="4"/>
      <c r="D16" s="4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x14ac:dyDescent="0.3">
      <c r="A17" s="8" t="s">
        <v>29</v>
      </c>
      <c r="B17" s="4" t="s">
        <v>16</v>
      </c>
      <c r="C17" s="4" t="s">
        <v>17</v>
      </c>
      <c r="D17" s="4"/>
      <c r="E17" s="9" t="s">
        <v>467</v>
      </c>
      <c r="F17" s="9" t="s">
        <v>467</v>
      </c>
      <c r="G17" s="9">
        <v>194</v>
      </c>
      <c r="H17" s="9">
        <v>341</v>
      </c>
      <c r="I17" s="9">
        <v>558</v>
      </c>
      <c r="J17" s="9">
        <v>795.053</v>
      </c>
      <c r="K17" s="9">
        <v>1101.981</v>
      </c>
      <c r="L17" s="9">
        <v>1457.8689999999999</v>
      </c>
      <c r="M17" s="9">
        <v>1834.9106811025665</v>
      </c>
      <c r="N17" s="9">
        <v>2221.213203620649</v>
      </c>
    </row>
    <row r="18" spans="1:14" x14ac:dyDescent="0.3">
      <c r="A18" s="8" t="s">
        <v>30</v>
      </c>
      <c r="B18" s="4" t="s">
        <v>16</v>
      </c>
      <c r="C18" s="4" t="s">
        <v>17</v>
      </c>
      <c r="D18" s="4" t="s">
        <v>31</v>
      </c>
      <c r="E18" s="9" t="s">
        <v>467</v>
      </c>
      <c r="F18" s="9" t="s">
        <v>467</v>
      </c>
      <c r="G18" s="9" t="s">
        <v>467</v>
      </c>
      <c r="H18" s="9" t="s">
        <v>467</v>
      </c>
      <c r="I18" s="9" t="s">
        <v>467</v>
      </c>
      <c r="J18" s="9" t="s">
        <v>467</v>
      </c>
      <c r="K18" s="9" t="s">
        <v>467</v>
      </c>
      <c r="L18" s="9" t="s">
        <v>467</v>
      </c>
      <c r="M18" s="9">
        <v>1096.7411812500002</v>
      </c>
      <c r="N18" s="9">
        <v>1333.0957604417581</v>
      </c>
    </row>
    <row r="19" spans="1:14" x14ac:dyDescent="0.3">
      <c r="A19" s="8" t="s">
        <v>32</v>
      </c>
      <c r="B19" s="4" t="s">
        <v>33</v>
      </c>
      <c r="C19" s="4" t="s">
        <v>34</v>
      </c>
      <c r="D19" s="4" t="s">
        <v>31</v>
      </c>
      <c r="E19" s="9" t="s">
        <v>467</v>
      </c>
      <c r="F19" s="9" t="s">
        <v>467</v>
      </c>
      <c r="G19" s="9" t="s">
        <v>467</v>
      </c>
      <c r="H19" s="9" t="s">
        <v>467</v>
      </c>
      <c r="I19" s="9">
        <v>45</v>
      </c>
      <c r="J19" s="9">
        <v>48</v>
      </c>
      <c r="K19" s="9">
        <v>52</v>
      </c>
      <c r="L19" s="9">
        <v>48</v>
      </c>
      <c r="M19" s="9">
        <v>58.425707605162906</v>
      </c>
      <c r="N19" s="9">
        <v>59.804405662663484</v>
      </c>
    </row>
    <row r="20" spans="1:14" x14ac:dyDescent="0.3">
      <c r="A20" s="8" t="s">
        <v>35</v>
      </c>
      <c r="B20" s="4" t="s">
        <v>16</v>
      </c>
      <c r="C20" s="4" t="s">
        <v>17</v>
      </c>
      <c r="D20" s="4" t="s">
        <v>36</v>
      </c>
      <c r="E20" s="9" t="s">
        <v>467</v>
      </c>
      <c r="F20" s="9" t="s">
        <v>467</v>
      </c>
      <c r="G20" s="9" t="s">
        <v>467</v>
      </c>
      <c r="H20" s="9" t="s">
        <v>467</v>
      </c>
      <c r="I20" s="9" t="s">
        <v>467</v>
      </c>
      <c r="J20" s="9" t="s">
        <v>467</v>
      </c>
      <c r="K20" s="9" t="s">
        <v>467</v>
      </c>
      <c r="L20" s="9" t="s">
        <v>467</v>
      </c>
      <c r="M20" s="9" t="s">
        <v>467</v>
      </c>
      <c r="N20" s="9" t="s">
        <v>467</v>
      </c>
    </row>
    <row r="21" spans="1:14" x14ac:dyDescent="0.3">
      <c r="A21" s="8" t="s">
        <v>37</v>
      </c>
      <c r="B21" s="4" t="s">
        <v>16</v>
      </c>
      <c r="C21" s="4" t="s">
        <v>17</v>
      </c>
      <c r="D21" s="4" t="s">
        <v>38</v>
      </c>
      <c r="E21" s="9" t="s">
        <v>467</v>
      </c>
      <c r="F21" s="9" t="s">
        <v>467</v>
      </c>
      <c r="G21" s="9" t="s">
        <v>467</v>
      </c>
      <c r="H21" s="9" t="s">
        <v>467</v>
      </c>
      <c r="I21" s="9" t="s">
        <v>467</v>
      </c>
      <c r="J21" s="9" t="s">
        <v>467</v>
      </c>
      <c r="K21" s="9" t="s">
        <v>467</v>
      </c>
      <c r="L21" s="9" t="s">
        <v>467</v>
      </c>
      <c r="M21" s="9" t="s">
        <v>467</v>
      </c>
      <c r="N21" s="9" t="s">
        <v>467</v>
      </c>
    </row>
    <row r="22" spans="1:14" x14ac:dyDescent="0.3">
      <c r="A22" s="8" t="s">
        <v>39</v>
      </c>
      <c r="B22" s="4" t="s">
        <v>16</v>
      </c>
      <c r="C22" s="4" t="s">
        <v>17</v>
      </c>
      <c r="D22" s="4" t="s">
        <v>40</v>
      </c>
      <c r="E22" s="9" t="s">
        <v>467</v>
      </c>
      <c r="F22" s="9" t="s">
        <v>467</v>
      </c>
      <c r="G22" s="9" t="s">
        <v>467</v>
      </c>
      <c r="H22" s="9" t="s">
        <v>467</v>
      </c>
      <c r="I22" s="9" t="s">
        <v>467</v>
      </c>
      <c r="J22" s="9" t="s">
        <v>467</v>
      </c>
      <c r="K22" s="9" t="s">
        <v>467</v>
      </c>
      <c r="L22" s="9" t="s">
        <v>467</v>
      </c>
      <c r="M22" s="9" t="s">
        <v>467</v>
      </c>
      <c r="N22" s="9" t="s">
        <v>467</v>
      </c>
    </row>
    <row r="23" spans="1:14" x14ac:dyDescent="0.3">
      <c r="A23" s="8" t="s">
        <v>41</v>
      </c>
      <c r="B23" s="4" t="s">
        <v>16</v>
      </c>
      <c r="C23" s="4" t="s">
        <v>17</v>
      </c>
      <c r="D23" s="4" t="s">
        <v>42</v>
      </c>
      <c r="E23" s="9" t="s">
        <v>467</v>
      </c>
      <c r="F23" s="9" t="s">
        <v>467</v>
      </c>
      <c r="G23" s="9" t="s">
        <v>467</v>
      </c>
      <c r="H23" s="9" t="s">
        <v>467</v>
      </c>
      <c r="I23" s="9" t="s">
        <v>467</v>
      </c>
      <c r="J23" s="9" t="s">
        <v>467</v>
      </c>
      <c r="K23" s="9" t="s">
        <v>467</v>
      </c>
      <c r="L23" s="9" t="s">
        <v>467</v>
      </c>
      <c r="M23" s="9" t="s">
        <v>467</v>
      </c>
      <c r="N23" s="9" t="s">
        <v>467</v>
      </c>
    </row>
    <row r="24" spans="1:14" x14ac:dyDescent="0.3">
      <c r="A24" s="8" t="s">
        <v>43</v>
      </c>
      <c r="B24" s="4" t="s">
        <v>16</v>
      </c>
      <c r="C24" s="4" t="s">
        <v>17</v>
      </c>
      <c r="D24" s="4" t="s">
        <v>44</v>
      </c>
      <c r="E24" s="9" t="s">
        <v>467</v>
      </c>
      <c r="F24" s="9" t="s">
        <v>467</v>
      </c>
      <c r="G24" s="9" t="s">
        <v>467</v>
      </c>
      <c r="H24" s="9" t="s">
        <v>467</v>
      </c>
      <c r="I24" s="9" t="s">
        <v>467</v>
      </c>
      <c r="J24" s="9" t="s">
        <v>467</v>
      </c>
      <c r="K24" s="9" t="s">
        <v>467</v>
      </c>
      <c r="L24" s="9" t="s">
        <v>467</v>
      </c>
      <c r="M24" s="9" t="s">
        <v>467</v>
      </c>
      <c r="N24" s="9" t="s">
        <v>467</v>
      </c>
    </row>
    <row r="25" spans="1:14" x14ac:dyDescent="0.3">
      <c r="A25" s="8" t="s">
        <v>45</v>
      </c>
      <c r="B25" s="4" t="s">
        <v>46</v>
      </c>
      <c r="C25" s="4" t="s">
        <v>47</v>
      </c>
      <c r="D25" s="4"/>
      <c r="E25" s="9" t="s">
        <v>467</v>
      </c>
      <c r="F25" s="9" t="s">
        <v>467</v>
      </c>
      <c r="G25" s="9" t="s">
        <v>467</v>
      </c>
      <c r="H25" s="9">
        <v>147</v>
      </c>
      <c r="I25" s="9">
        <v>217</v>
      </c>
      <c r="J25" s="9">
        <v>237.1</v>
      </c>
      <c r="K25" s="9">
        <v>1102</v>
      </c>
      <c r="L25" s="9">
        <v>1460</v>
      </c>
      <c r="M25" s="9">
        <v>376.94233455424228</v>
      </c>
      <c r="N25" s="9">
        <v>386.86710633299879</v>
      </c>
    </row>
    <row r="26" spans="1:14" x14ac:dyDescent="0.3">
      <c r="A26" s="8" t="s">
        <v>48</v>
      </c>
      <c r="B26" s="4" t="s">
        <v>46</v>
      </c>
      <c r="C26" s="4" t="s">
        <v>47</v>
      </c>
      <c r="D26" s="4" t="s">
        <v>49</v>
      </c>
      <c r="E26" s="9" t="s">
        <v>467</v>
      </c>
      <c r="F26" s="9" t="s">
        <v>467</v>
      </c>
      <c r="G26" s="9" t="s">
        <v>467</v>
      </c>
      <c r="H26" s="9" t="s">
        <v>467</v>
      </c>
      <c r="I26" s="9" t="s">
        <v>467</v>
      </c>
      <c r="J26" s="9" t="s">
        <v>467</v>
      </c>
      <c r="K26" s="9" t="s">
        <v>467</v>
      </c>
      <c r="L26" s="9" t="s">
        <v>467</v>
      </c>
      <c r="M26" s="9">
        <v>160.86448880928245</v>
      </c>
      <c r="N26" s="9">
        <v>147.78783517689726</v>
      </c>
    </row>
    <row r="27" spans="1:14" x14ac:dyDescent="0.3">
      <c r="A27" s="8" t="s">
        <v>50</v>
      </c>
      <c r="B27" s="4" t="s">
        <v>46</v>
      </c>
      <c r="C27" s="4" t="s">
        <v>47</v>
      </c>
      <c r="D27" s="4" t="s">
        <v>51</v>
      </c>
      <c r="E27" s="9" t="s">
        <v>467</v>
      </c>
      <c r="F27" s="9" t="s">
        <v>467</v>
      </c>
      <c r="G27" s="9" t="s">
        <v>467</v>
      </c>
      <c r="H27" s="9" t="s">
        <v>467</v>
      </c>
      <c r="I27" s="9" t="s">
        <v>467</v>
      </c>
      <c r="J27" s="9" t="s">
        <v>467</v>
      </c>
      <c r="K27" s="9" t="s">
        <v>467</v>
      </c>
      <c r="L27" s="9" t="s">
        <v>467</v>
      </c>
      <c r="M27" s="9">
        <v>212.7764104034809</v>
      </c>
      <c r="N27" s="9">
        <v>255.02598739889225</v>
      </c>
    </row>
    <row r="28" spans="1:14" x14ac:dyDescent="0.3">
      <c r="A28" s="8" t="s">
        <v>14</v>
      </c>
      <c r="B28" s="4"/>
      <c r="C28" s="4"/>
      <c r="D28" s="4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8" t="s">
        <v>15</v>
      </c>
      <c r="B29" s="4" t="s">
        <v>16</v>
      </c>
      <c r="C29" s="4" t="s">
        <v>17</v>
      </c>
      <c r="D29" s="4"/>
      <c r="E29" s="9" t="s">
        <v>467</v>
      </c>
      <c r="F29" s="9" t="s">
        <v>467</v>
      </c>
      <c r="G29" s="9">
        <v>194</v>
      </c>
      <c r="H29" s="9">
        <v>341</v>
      </c>
      <c r="I29" s="9">
        <v>558</v>
      </c>
      <c r="J29" s="9">
        <v>795.053</v>
      </c>
      <c r="K29" s="9">
        <v>1101.981</v>
      </c>
      <c r="L29" s="9">
        <v>1457.8689999999999</v>
      </c>
      <c r="M29" s="9">
        <v>1834.9106811025665</v>
      </c>
      <c r="N29" s="9">
        <v>2221.213203620649</v>
      </c>
    </row>
    <row r="30" spans="1:14" x14ac:dyDescent="0.3">
      <c r="A30" s="8" t="s">
        <v>52</v>
      </c>
      <c r="B30" s="4" t="s">
        <v>53</v>
      </c>
      <c r="C30" s="4" t="s">
        <v>53</v>
      </c>
      <c r="D30" s="4" t="s">
        <v>54</v>
      </c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8" t="s">
        <v>48</v>
      </c>
      <c r="B31" s="4" t="s">
        <v>16</v>
      </c>
      <c r="C31" s="4" t="s">
        <v>17</v>
      </c>
      <c r="D31" s="4" t="s">
        <v>55</v>
      </c>
      <c r="E31" s="9" t="s">
        <v>467</v>
      </c>
      <c r="F31" s="9" t="s">
        <v>467</v>
      </c>
      <c r="G31" s="9" t="s">
        <v>467</v>
      </c>
      <c r="H31" s="9" t="s">
        <v>467</v>
      </c>
      <c r="I31" s="9" t="s">
        <v>467</v>
      </c>
      <c r="J31" s="9" t="s">
        <v>467</v>
      </c>
      <c r="K31" s="9" t="s">
        <v>467</v>
      </c>
      <c r="L31" s="9" t="s">
        <v>467</v>
      </c>
      <c r="M31" s="9" t="s">
        <v>467</v>
      </c>
      <c r="N31" s="9" t="s">
        <v>467</v>
      </c>
    </row>
    <row r="32" spans="1:14" x14ac:dyDescent="0.3">
      <c r="A32" s="8" t="s">
        <v>14</v>
      </c>
      <c r="B32" s="4"/>
      <c r="C32" s="4"/>
      <c r="D32" s="4"/>
      <c r="E32" s="9"/>
      <c r="F32" s="9"/>
      <c r="G32" s="9"/>
      <c r="H32" s="9"/>
      <c r="I32" s="9"/>
      <c r="J32" s="9"/>
      <c r="K32" s="9"/>
      <c r="L32" s="9"/>
      <c r="M32" s="9"/>
      <c r="N32" s="9"/>
    </row>
    <row r="33" spans="1:14" x14ac:dyDescent="0.3">
      <c r="A33" s="8" t="s">
        <v>15</v>
      </c>
      <c r="B33" s="4"/>
      <c r="C33" s="4"/>
      <c r="D33" s="4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spans="1:14" x14ac:dyDescent="0.3">
      <c r="A34" s="8" t="s">
        <v>56</v>
      </c>
      <c r="B34" s="4" t="s">
        <v>16</v>
      </c>
      <c r="C34" s="4" t="s">
        <v>17</v>
      </c>
      <c r="D34" s="4" t="s">
        <v>51</v>
      </c>
      <c r="E34" s="9" t="s">
        <v>467</v>
      </c>
      <c r="F34" s="9" t="s">
        <v>467</v>
      </c>
      <c r="G34" s="9" t="s">
        <v>467</v>
      </c>
      <c r="H34" s="9" t="s">
        <v>467</v>
      </c>
      <c r="I34" s="9" t="s">
        <v>467</v>
      </c>
      <c r="J34" s="9" t="s">
        <v>467</v>
      </c>
      <c r="K34" s="9" t="s">
        <v>467</v>
      </c>
      <c r="L34" s="9" t="s">
        <v>467</v>
      </c>
      <c r="M34" s="9" t="s">
        <v>467</v>
      </c>
      <c r="N34" s="9" t="s">
        <v>467</v>
      </c>
    </row>
    <row r="35" spans="1:14" x14ac:dyDescent="0.3">
      <c r="A35" s="8" t="s">
        <v>57</v>
      </c>
      <c r="B35" s="4" t="s">
        <v>16</v>
      </c>
      <c r="C35" s="4" t="s">
        <v>17</v>
      </c>
      <c r="D35" s="4" t="s">
        <v>36</v>
      </c>
      <c r="E35" s="9" t="s">
        <v>467</v>
      </c>
      <c r="F35" s="9" t="s">
        <v>467</v>
      </c>
      <c r="G35" s="9" t="s">
        <v>467</v>
      </c>
      <c r="H35" s="9" t="s">
        <v>467</v>
      </c>
      <c r="I35" s="9" t="s">
        <v>467</v>
      </c>
      <c r="J35" s="9" t="s">
        <v>467</v>
      </c>
      <c r="K35" s="9" t="s">
        <v>467</v>
      </c>
      <c r="L35" s="9" t="s">
        <v>467</v>
      </c>
      <c r="M35" s="9" t="s">
        <v>467</v>
      </c>
      <c r="N35" s="9" t="s">
        <v>467</v>
      </c>
    </row>
    <row r="36" spans="1:14" x14ac:dyDescent="0.3">
      <c r="A36" s="8" t="s">
        <v>58</v>
      </c>
      <c r="B36" s="4" t="s">
        <v>16</v>
      </c>
      <c r="C36" s="4" t="s">
        <v>17</v>
      </c>
      <c r="D36" s="4" t="s">
        <v>49</v>
      </c>
      <c r="E36" s="9" t="s">
        <v>467</v>
      </c>
      <c r="F36" s="9" t="s">
        <v>467</v>
      </c>
      <c r="G36" s="9" t="s">
        <v>467</v>
      </c>
      <c r="H36" s="9" t="s">
        <v>467</v>
      </c>
      <c r="I36" s="9" t="s">
        <v>467</v>
      </c>
      <c r="J36" s="9" t="s">
        <v>467</v>
      </c>
      <c r="K36" s="9" t="s">
        <v>467</v>
      </c>
      <c r="L36" s="9" t="s">
        <v>467</v>
      </c>
      <c r="M36" s="9">
        <v>157.41499999999996</v>
      </c>
      <c r="N36" s="9">
        <v>102.79999999999973</v>
      </c>
    </row>
    <row r="37" spans="1:14" x14ac:dyDescent="0.3">
      <c r="A37" s="8" t="s">
        <v>59</v>
      </c>
      <c r="B37" s="4" t="s">
        <v>16</v>
      </c>
      <c r="C37" s="4" t="s">
        <v>17</v>
      </c>
      <c r="D37" s="4" t="s">
        <v>38</v>
      </c>
      <c r="E37" s="9" t="s">
        <v>467</v>
      </c>
      <c r="F37" s="9" t="s">
        <v>467</v>
      </c>
      <c r="G37" s="9" t="s">
        <v>467</v>
      </c>
      <c r="H37" s="9" t="s">
        <v>467</v>
      </c>
      <c r="I37" s="9" t="s">
        <v>467</v>
      </c>
      <c r="J37" s="9" t="s">
        <v>467</v>
      </c>
      <c r="K37" s="9" t="s">
        <v>467</v>
      </c>
      <c r="L37" s="9" t="s">
        <v>467</v>
      </c>
      <c r="M37" s="9" t="s">
        <v>467</v>
      </c>
      <c r="N37" s="9" t="s">
        <v>467</v>
      </c>
    </row>
    <row r="38" spans="1:14" x14ac:dyDescent="0.3">
      <c r="A38" s="8" t="s">
        <v>14</v>
      </c>
      <c r="B38" s="4"/>
      <c r="C38" s="4"/>
      <c r="D38" s="4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4" x14ac:dyDescent="0.3">
      <c r="A39" s="8" t="s">
        <v>60</v>
      </c>
      <c r="B39" s="4" t="s">
        <v>61</v>
      </c>
      <c r="C39" s="4" t="s">
        <v>62</v>
      </c>
      <c r="D39" s="4"/>
      <c r="E39" s="9" t="s">
        <v>467</v>
      </c>
      <c r="F39" s="9" t="s">
        <v>467</v>
      </c>
      <c r="G39" s="9" t="s">
        <v>467</v>
      </c>
      <c r="H39" s="9" t="s">
        <v>467</v>
      </c>
      <c r="I39" s="9" t="s">
        <v>467</v>
      </c>
      <c r="J39" s="9" t="s">
        <v>467</v>
      </c>
      <c r="K39" s="9" t="s">
        <v>467</v>
      </c>
      <c r="L39" s="9" t="s">
        <v>467</v>
      </c>
      <c r="M39" s="9" t="s">
        <v>467</v>
      </c>
      <c r="N39" s="9" t="s">
        <v>467</v>
      </c>
    </row>
    <row r="40" spans="1:14" x14ac:dyDescent="0.3">
      <c r="A40" s="8" t="s">
        <v>30</v>
      </c>
      <c r="B40" s="4" t="s">
        <v>61</v>
      </c>
      <c r="C40" s="4" t="s">
        <v>62</v>
      </c>
      <c r="D40" s="4" t="s">
        <v>31</v>
      </c>
      <c r="E40" s="9" t="s">
        <v>467</v>
      </c>
      <c r="F40" s="9" t="s">
        <v>467</v>
      </c>
      <c r="G40" s="9" t="s">
        <v>467</v>
      </c>
      <c r="H40" s="9" t="s">
        <v>467</v>
      </c>
      <c r="I40" s="9" t="s">
        <v>467</v>
      </c>
      <c r="J40" s="9" t="s">
        <v>467</v>
      </c>
      <c r="K40" s="9" t="s">
        <v>467</v>
      </c>
      <c r="L40" s="9" t="s">
        <v>467</v>
      </c>
      <c r="M40" s="9">
        <v>341328.77657159622</v>
      </c>
      <c r="N40" s="9">
        <v>349406.8277428947</v>
      </c>
    </row>
    <row r="41" spans="1:14" x14ac:dyDescent="0.3">
      <c r="A41" s="8" t="s">
        <v>14</v>
      </c>
      <c r="B41" s="4"/>
      <c r="C41" s="4"/>
      <c r="D41" s="4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8" t="s">
        <v>60</v>
      </c>
      <c r="B42" s="4"/>
      <c r="C42" s="4"/>
      <c r="D42" s="4"/>
      <c r="E42" s="9"/>
      <c r="F42" s="9"/>
      <c r="G42" s="9"/>
      <c r="H42" s="9"/>
      <c r="I42" s="9"/>
      <c r="J42" s="9"/>
      <c r="K42" s="9"/>
      <c r="L42" s="9"/>
      <c r="M42" s="9"/>
      <c r="N42" s="9"/>
    </row>
    <row r="43" spans="1:14" x14ac:dyDescent="0.3">
      <c r="A43" s="8" t="s">
        <v>52</v>
      </c>
      <c r="B43" s="4" t="s">
        <v>61</v>
      </c>
      <c r="C43" s="4" t="s">
        <v>62</v>
      </c>
      <c r="D43" s="4" t="s">
        <v>54</v>
      </c>
      <c r="E43" s="9" t="s">
        <v>467</v>
      </c>
      <c r="F43" s="9" t="s">
        <v>467</v>
      </c>
      <c r="G43" s="9" t="s">
        <v>467</v>
      </c>
      <c r="H43" s="9" t="s">
        <v>467</v>
      </c>
      <c r="I43" s="9" t="s">
        <v>467</v>
      </c>
      <c r="J43" s="9" t="s">
        <v>467</v>
      </c>
      <c r="K43" s="9" t="s">
        <v>467</v>
      </c>
      <c r="L43" s="9" t="s">
        <v>467</v>
      </c>
      <c r="M43" s="9" t="s">
        <v>467</v>
      </c>
      <c r="N43" s="9" t="s">
        <v>467</v>
      </c>
    </row>
    <row r="44" spans="1:14" x14ac:dyDescent="0.3">
      <c r="A44" s="8" t="s">
        <v>48</v>
      </c>
      <c r="B44" s="4" t="s">
        <v>61</v>
      </c>
      <c r="C44" s="4" t="s">
        <v>62</v>
      </c>
      <c r="D44" s="4" t="s">
        <v>55</v>
      </c>
      <c r="E44" s="9" t="s">
        <v>467</v>
      </c>
      <c r="F44" s="9" t="s">
        <v>467</v>
      </c>
      <c r="G44" s="9" t="s">
        <v>467</v>
      </c>
      <c r="H44" s="9" t="s">
        <v>467</v>
      </c>
      <c r="I44" s="9" t="s">
        <v>467</v>
      </c>
      <c r="J44" s="9" t="s">
        <v>467</v>
      </c>
      <c r="K44" s="9" t="s">
        <v>467</v>
      </c>
      <c r="L44" s="9" t="s">
        <v>467</v>
      </c>
      <c r="M44" s="9" t="s">
        <v>467</v>
      </c>
      <c r="N44" s="9" t="s">
        <v>467</v>
      </c>
    </row>
    <row r="45" spans="1:14" x14ac:dyDescent="0.3">
      <c r="A45" s="8" t="s">
        <v>14</v>
      </c>
      <c r="B45" s="4"/>
      <c r="C45" s="4"/>
      <c r="D45" s="4"/>
      <c r="E45" s="9"/>
      <c r="F45" s="9"/>
      <c r="G45" s="9"/>
      <c r="H45" s="9"/>
      <c r="I45" s="9"/>
      <c r="J45" s="9"/>
      <c r="K45" s="9"/>
      <c r="L45" s="9"/>
      <c r="M45" s="9"/>
      <c r="N45" s="9"/>
    </row>
    <row r="46" spans="1:14" x14ac:dyDescent="0.3">
      <c r="A46" s="8" t="s">
        <v>63</v>
      </c>
      <c r="B46" s="4" t="s">
        <v>64</v>
      </c>
      <c r="C46" s="4" t="s">
        <v>65</v>
      </c>
      <c r="D46" s="4"/>
      <c r="E46" s="9" t="s">
        <v>467</v>
      </c>
      <c r="F46" s="9" t="s">
        <v>467</v>
      </c>
      <c r="G46" s="9" t="s">
        <v>467</v>
      </c>
      <c r="H46" s="9" t="s">
        <v>467</v>
      </c>
      <c r="I46" s="9" t="s">
        <v>467</v>
      </c>
      <c r="J46" s="9" t="s">
        <v>467</v>
      </c>
      <c r="K46" s="9" t="s">
        <v>467</v>
      </c>
      <c r="L46" s="9" t="s">
        <v>467</v>
      </c>
      <c r="M46" s="9" t="s">
        <v>467</v>
      </c>
      <c r="N46" s="9" t="s">
        <v>467</v>
      </c>
    </row>
    <row r="47" spans="1:14" x14ac:dyDescent="0.3">
      <c r="A47" s="8" t="s">
        <v>14</v>
      </c>
      <c r="B47" s="4"/>
      <c r="C47" s="4"/>
      <c r="D47" s="4"/>
      <c r="E47" s="9"/>
      <c r="F47" s="9"/>
      <c r="G47" s="9"/>
      <c r="H47" s="9"/>
      <c r="I47" s="9"/>
      <c r="J47" s="9"/>
      <c r="K47" s="9"/>
      <c r="L47" s="9"/>
      <c r="M47" s="9"/>
      <c r="N47" s="9"/>
    </row>
    <row r="48" spans="1:14" x14ac:dyDescent="0.3">
      <c r="A48" s="8" t="s">
        <v>66</v>
      </c>
      <c r="B48" s="4" t="s">
        <v>67</v>
      </c>
      <c r="C48" s="4" t="s">
        <v>68</v>
      </c>
      <c r="D48" s="4"/>
      <c r="E48" s="9" t="s">
        <v>467</v>
      </c>
      <c r="F48" s="9" t="s">
        <v>467</v>
      </c>
      <c r="G48" s="9" t="s">
        <v>467</v>
      </c>
      <c r="H48" s="9" t="s">
        <v>467</v>
      </c>
      <c r="I48" s="9" t="s">
        <v>467</v>
      </c>
      <c r="J48" s="9" t="s">
        <v>467</v>
      </c>
      <c r="K48" s="9" t="s">
        <v>467</v>
      </c>
      <c r="L48" s="9" t="s">
        <v>467</v>
      </c>
      <c r="M48" s="9">
        <v>114.74533356726135</v>
      </c>
      <c r="N48" s="9">
        <v>113.58933762877942</v>
      </c>
    </row>
    <row r="49" spans="1:14" x14ac:dyDescent="0.3">
      <c r="A49" s="8" t="s">
        <v>30</v>
      </c>
      <c r="B49" s="4" t="s">
        <v>67</v>
      </c>
      <c r="C49" s="4" t="s">
        <v>68</v>
      </c>
      <c r="D49" s="4" t="s">
        <v>31</v>
      </c>
      <c r="E49" s="9" t="s">
        <v>467</v>
      </c>
      <c r="F49" s="9" t="s">
        <v>467</v>
      </c>
      <c r="G49" s="9" t="s">
        <v>467</v>
      </c>
      <c r="H49" s="9" t="s">
        <v>467</v>
      </c>
      <c r="I49" s="9" t="s">
        <v>467</v>
      </c>
      <c r="J49" s="9" t="s">
        <v>467</v>
      </c>
      <c r="K49" s="9" t="s">
        <v>467</v>
      </c>
      <c r="L49" s="9" t="s">
        <v>467</v>
      </c>
      <c r="M49" s="9" t="s">
        <v>467</v>
      </c>
      <c r="N49" s="9" t="s">
        <v>467</v>
      </c>
    </row>
    <row r="50" spans="1:14" x14ac:dyDescent="0.3">
      <c r="A50" s="8" t="s">
        <v>39</v>
      </c>
      <c r="B50" s="4" t="s">
        <v>67</v>
      </c>
      <c r="C50" s="4" t="s">
        <v>68</v>
      </c>
      <c r="D50" s="4" t="s">
        <v>40</v>
      </c>
      <c r="E50" s="9" t="s">
        <v>467</v>
      </c>
      <c r="F50" s="9" t="s">
        <v>467</v>
      </c>
      <c r="G50" s="9" t="s">
        <v>467</v>
      </c>
      <c r="H50" s="9" t="s">
        <v>467</v>
      </c>
      <c r="I50" s="9" t="s">
        <v>467</v>
      </c>
      <c r="J50" s="9" t="s">
        <v>467</v>
      </c>
      <c r="K50" s="9" t="s">
        <v>467</v>
      </c>
      <c r="L50" s="9" t="s">
        <v>467</v>
      </c>
      <c r="M50" s="9" t="s">
        <v>467</v>
      </c>
      <c r="N50" s="9" t="s">
        <v>467</v>
      </c>
    </row>
    <row r="51" spans="1:14" x14ac:dyDescent="0.3">
      <c r="A51" s="8" t="s">
        <v>14</v>
      </c>
      <c r="B51" s="4"/>
      <c r="C51" s="4"/>
      <c r="D51" s="4"/>
      <c r="E51" s="9"/>
      <c r="F51" s="9"/>
      <c r="G51" s="9"/>
      <c r="H51" s="9"/>
      <c r="I51" s="9"/>
      <c r="J51" s="9"/>
      <c r="K51" s="9"/>
      <c r="L51" s="9"/>
      <c r="M51" s="9"/>
      <c r="N51" s="9"/>
    </row>
    <row r="52" spans="1:14" x14ac:dyDescent="0.3">
      <c r="A52" s="8" t="s">
        <v>69</v>
      </c>
      <c r="B52" s="4"/>
      <c r="C52" s="4"/>
      <c r="D52" s="4"/>
      <c r="E52" s="9"/>
      <c r="F52" s="9"/>
      <c r="G52" s="9"/>
      <c r="H52" s="9"/>
      <c r="I52" s="9"/>
      <c r="J52" s="9"/>
      <c r="K52" s="9"/>
      <c r="L52" s="9"/>
      <c r="M52" s="9"/>
      <c r="N52" s="9"/>
    </row>
    <row r="53" spans="1:14" x14ac:dyDescent="0.3">
      <c r="A53" s="8" t="s">
        <v>70</v>
      </c>
      <c r="B53" s="4" t="s">
        <v>71</v>
      </c>
      <c r="C53" s="4" t="s">
        <v>72</v>
      </c>
      <c r="D53" s="4" t="s">
        <v>73</v>
      </c>
      <c r="E53" s="9" t="s">
        <v>467</v>
      </c>
      <c r="F53" s="9" t="s">
        <v>467</v>
      </c>
      <c r="G53" s="9" t="s">
        <v>467</v>
      </c>
      <c r="H53" s="9" t="s">
        <v>467</v>
      </c>
      <c r="I53" s="9">
        <v>3.1E-2</v>
      </c>
      <c r="J53" s="9">
        <v>5.0999999999999997E-2</v>
      </c>
      <c r="K53" s="9">
        <v>8.2000000000000003E-2</v>
      </c>
      <c r="L53" s="9" t="s">
        <v>467</v>
      </c>
      <c r="M53" s="9">
        <v>-0.11799999999999999</v>
      </c>
      <c r="N53" s="9" t="s">
        <v>467</v>
      </c>
    </row>
    <row r="54" spans="1:14" x14ac:dyDescent="0.3">
      <c r="A54" s="8" t="s">
        <v>74</v>
      </c>
      <c r="B54" s="4" t="s">
        <v>75</v>
      </c>
      <c r="C54" s="4" t="s">
        <v>76</v>
      </c>
      <c r="D54" s="4" t="s">
        <v>73</v>
      </c>
      <c r="E54" s="9" t="s">
        <v>467</v>
      </c>
      <c r="F54" s="9" t="s">
        <v>467</v>
      </c>
      <c r="G54" s="9" t="s">
        <v>467</v>
      </c>
      <c r="H54" s="9" t="s">
        <v>467</v>
      </c>
      <c r="I54" s="9" t="s">
        <v>467</v>
      </c>
      <c r="J54" s="9" t="s">
        <v>467</v>
      </c>
      <c r="K54" s="9" t="s">
        <v>467</v>
      </c>
      <c r="L54" s="9" t="s">
        <v>467</v>
      </c>
      <c r="M54" s="9" t="s">
        <v>467</v>
      </c>
      <c r="N54" s="9" t="s">
        <v>467</v>
      </c>
    </row>
    <row r="55" spans="1:14" x14ac:dyDescent="0.3">
      <c r="A55" s="8" t="s">
        <v>30</v>
      </c>
      <c r="B55" s="4" t="s">
        <v>71</v>
      </c>
      <c r="C55" s="4" t="s">
        <v>72</v>
      </c>
      <c r="D55" s="4" t="s">
        <v>31</v>
      </c>
      <c r="E55" s="9" t="s">
        <v>467</v>
      </c>
      <c r="F55" s="9" t="s">
        <v>467</v>
      </c>
      <c r="G55" s="9" t="s">
        <v>467</v>
      </c>
      <c r="H55" s="9" t="s">
        <v>467</v>
      </c>
      <c r="I55" s="9">
        <v>0.80600000000000005</v>
      </c>
      <c r="J55" s="9">
        <v>1.2370000000000001</v>
      </c>
      <c r="K55" s="9">
        <v>1.8480000000000001</v>
      </c>
      <c r="L55" s="9">
        <v>2.5059999999999998</v>
      </c>
      <c r="M55" s="9">
        <v>3.1348600000000002</v>
      </c>
      <c r="N55" s="9">
        <v>3.7765005999999999</v>
      </c>
    </row>
    <row r="56" spans="1:14" x14ac:dyDescent="0.3">
      <c r="A56" s="8" t="s">
        <v>74</v>
      </c>
      <c r="B56" s="4" t="s">
        <v>75</v>
      </c>
      <c r="C56" s="4" t="s">
        <v>76</v>
      </c>
      <c r="D56" s="4" t="s">
        <v>31</v>
      </c>
      <c r="E56" s="9" t="s">
        <v>467</v>
      </c>
      <c r="F56" s="9" t="s">
        <v>467</v>
      </c>
      <c r="G56" s="9" t="s">
        <v>467</v>
      </c>
      <c r="H56" s="9" t="s">
        <v>467</v>
      </c>
      <c r="I56" s="9" t="s">
        <v>467</v>
      </c>
      <c r="J56" s="9" t="s">
        <v>467</v>
      </c>
      <c r="K56" s="9" t="s">
        <v>467</v>
      </c>
      <c r="L56" s="9" t="s">
        <v>467</v>
      </c>
      <c r="M56" s="9">
        <v>0.63440666666666667</v>
      </c>
      <c r="N56" s="9">
        <v>0.64059373333333325</v>
      </c>
    </row>
    <row r="57" spans="1:14" x14ac:dyDescent="0.3">
      <c r="A57" s="8" t="s">
        <v>77</v>
      </c>
      <c r="B57" s="4" t="s">
        <v>71</v>
      </c>
      <c r="C57" s="4" t="s">
        <v>72</v>
      </c>
      <c r="D57" s="4" t="s">
        <v>78</v>
      </c>
      <c r="E57" s="9" t="s">
        <v>467</v>
      </c>
      <c r="F57" s="9" t="s">
        <v>467</v>
      </c>
      <c r="G57" s="9" t="s">
        <v>467</v>
      </c>
      <c r="H57" s="9" t="s">
        <v>467</v>
      </c>
      <c r="I57" s="9">
        <v>8.9</v>
      </c>
      <c r="J57" s="9">
        <v>12.5</v>
      </c>
      <c r="K57" s="9">
        <v>16.5</v>
      </c>
      <c r="L57" s="9" t="s">
        <v>467</v>
      </c>
      <c r="M57" s="9" t="s">
        <v>467</v>
      </c>
      <c r="N57" s="9" t="s">
        <v>467</v>
      </c>
    </row>
    <row r="58" spans="1:14" x14ac:dyDescent="0.3">
      <c r="A58" s="8" t="s">
        <v>74</v>
      </c>
      <c r="B58" s="4" t="s">
        <v>75</v>
      </c>
      <c r="C58" s="4" t="s">
        <v>76</v>
      </c>
      <c r="D58" s="4" t="s">
        <v>78</v>
      </c>
      <c r="E58" s="9" t="s">
        <v>467</v>
      </c>
      <c r="F58" s="9" t="s">
        <v>467</v>
      </c>
      <c r="G58" s="9" t="s">
        <v>467</v>
      </c>
      <c r="H58" s="9" t="s">
        <v>467</v>
      </c>
      <c r="I58" s="9" t="s">
        <v>467</v>
      </c>
      <c r="J58" s="9" t="s">
        <v>467</v>
      </c>
      <c r="K58" s="9" t="s">
        <v>467</v>
      </c>
      <c r="L58" s="9" t="s">
        <v>467</v>
      </c>
      <c r="M58" s="9" t="s">
        <v>467</v>
      </c>
      <c r="N58" s="9" t="s">
        <v>467</v>
      </c>
    </row>
    <row r="59" spans="1:14" x14ac:dyDescent="0.3">
      <c r="A59" s="8" t="s">
        <v>39</v>
      </c>
      <c r="B59" s="4" t="s">
        <v>71</v>
      </c>
      <c r="C59" s="4" t="s">
        <v>72</v>
      </c>
      <c r="D59" s="4" t="s">
        <v>40</v>
      </c>
      <c r="E59" s="9" t="s">
        <v>467</v>
      </c>
      <c r="F59" s="9" t="s">
        <v>467</v>
      </c>
      <c r="G59" s="9" t="s">
        <v>467</v>
      </c>
      <c r="H59" s="9" t="s">
        <v>467</v>
      </c>
      <c r="I59" s="9" t="s">
        <v>467</v>
      </c>
      <c r="J59" s="9" t="s">
        <v>467</v>
      </c>
      <c r="K59" s="9" t="s">
        <v>467</v>
      </c>
      <c r="L59" s="9" t="s">
        <v>467</v>
      </c>
      <c r="M59" s="9" t="s">
        <v>467</v>
      </c>
      <c r="N59" s="9" t="s">
        <v>467</v>
      </c>
    </row>
    <row r="60" spans="1:14" x14ac:dyDescent="0.3">
      <c r="A60" s="8" t="s">
        <v>74</v>
      </c>
      <c r="B60" s="4" t="s">
        <v>75</v>
      </c>
      <c r="C60" s="4" t="s">
        <v>76</v>
      </c>
      <c r="D60" s="4" t="s">
        <v>40</v>
      </c>
      <c r="E60" s="9" t="s">
        <v>467</v>
      </c>
      <c r="F60" s="9" t="s">
        <v>467</v>
      </c>
      <c r="G60" s="9" t="s">
        <v>467</v>
      </c>
      <c r="H60" s="9" t="s">
        <v>467</v>
      </c>
      <c r="I60" s="9" t="s">
        <v>467</v>
      </c>
      <c r="J60" s="9" t="s">
        <v>467</v>
      </c>
      <c r="K60" s="9" t="s">
        <v>467</v>
      </c>
      <c r="L60" s="9" t="s">
        <v>467</v>
      </c>
      <c r="M60" s="9" t="s">
        <v>467</v>
      </c>
      <c r="N60" s="9" t="s">
        <v>467</v>
      </c>
    </row>
    <row r="61" spans="1:14" x14ac:dyDescent="0.3">
      <c r="A61" s="8" t="s">
        <v>79</v>
      </c>
      <c r="B61" s="4" t="s">
        <v>71</v>
      </c>
      <c r="C61" s="4" t="s">
        <v>72</v>
      </c>
      <c r="D61" s="4" t="s">
        <v>80</v>
      </c>
      <c r="E61" s="9" t="s">
        <v>467</v>
      </c>
      <c r="F61" s="9" t="s">
        <v>467</v>
      </c>
      <c r="G61" s="9" t="s">
        <v>467</v>
      </c>
      <c r="H61" s="9" t="s">
        <v>467</v>
      </c>
      <c r="I61" s="9">
        <v>14.5</v>
      </c>
      <c r="J61" s="9">
        <v>19.3</v>
      </c>
      <c r="K61" s="9">
        <v>24.4</v>
      </c>
      <c r="L61" s="9" t="s">
        <v>467</v>
      </c>
      <c r="M61" s="9" t="s">
        <v>467</v>
      </c>
      <c r="N61" s="9" t="s">
        <v>467</v>
      </c>
    </row>
    <row r="62" spans="1:14" x14ac:dyDescent="0.3">
      <c r="A62" s="8" t="s">
        <v>81</v>
      </c>
      <c r="B62" s="4" t="s">
        <v>75</v>
      </c>
      <c r="C62" s="4" t="s">
        <v>76</v>
      </c>
      <c r="D62" s="4" t="s">
        <v>80</v>
      </c>
      <c r="E62" s="9" t="s">
        <v>467</v>
      </c>
      <c r="F62" s="9" t="s">
        <v>467</v>
      </c>
      <c r="G62" s="9" t="s">
        <v>467</v>
      </c>
      <c r="H62" s="9" t="s">
        <v>467</v>
      </c>
      <c r="I62" s="9" t="s">
        <v>467</v>
      </c>
      <c r="J62" s="9" t="s">
        <v>467</v>
      </c>
      <c r="K62" s="9" t="s">
        <v>467</v>
      </c>
      <c r="L62" s="9" t="s">
        <v>467</v>
      </c>
      <c r="M62" s="9" t="s">
        <v>467</v>
      </c>
      <c r="N62" s="9" t="s">
        <v>467</v>
      </c>
    </row>
    <row r="63" spans="1:14" x14ac:dyDescent="0.3">
      <c r="A63" s="8" t="s">
        <v>82</v>
      </c>
      <c r="B63" s="4" t="s">
        <v>71</v>
      </c>
      <c r="C63" s="4" t="s">
        <v>72</v>
      </c>
      <c r="D63" s="4" t="s">
        <v>83</v>
      </c>
      <c r="E63" s="9" t="s">
        <v>467</v>
      </c>
      <c r="F63" s="9" t="s">
        <v>467</v>
      </c>
      <c r="G63" s="9" t="s">
        <v>467</v>
      </c>
      <c r="H63" s="9" t="s">
        <v>467</v>
      </c>
      <c r="I63" s="9" t="s">
        <v>467</v>
      </c>
      <c r="J63" s="9" t="s">
        <v>467</v>
      </c>
      <c r="K63" s="9" t="s">
        <v>467</v>
      </c>
      <c r="L63" s="9" t="s">
        <v>467</v>
      </c>
      <c r="M63" s="9" t="s">
        <v>467</v>
      </c>
      <c r="N63" s="9" t="s">
        <v>467</v>
      </c>
    </row>
    <row r="64" spans="1:14" x14ac:dyDescent="0.3">
      <c r="A64" s="8" t="s">
        <v>74</v>
      </c>
      <c r="B64" s="4" t="s">
        <v>75</v>
      </c>
      <c r="C64" s="4" t="s">
        <v>76</v>
      </c>
      <c r="D64" s="4" t="s">
        <v>83</v>
      </c>
      <c r="E64" s="9" t="s">
        <v>467</v>
      </c>
      <c r="F64" s="9" t="s">
        <v>467</v>
      </c>
      <c r="G64" s="9" t="s">
        <v>467</v>
      </c>
      <c r="H64" s="9" t="s">
        <v>467</v>
      </c>
      <c r="I64" s="9" t="s">
        <v>467</v>
      </c>
      <c r="J64" s="9" t="s">
        <v>467</v>
      </c>
      <c r="K64" s="9" t="s">
        <v>467</v>
      </c>
      <c r="L64" s="9" t="s">
        <v>467</v>
      </c>
      <c r="M64" s="9" t="s">
        <v>467</v>
      </c>
      <c r="N64" s="9" t="s">
        <v>467</v>
      </c>
    </row>
    <row r="65" spans="1:14" x14ac:dyDescent="0.3">
      <c r="A65" s="8" t="s">
        <v>14</v>
      </c>
      <c r="B65" s="4"/>
      <c r="C65" s="4"/>
      <c r="D65" s="4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x14ac:dyDescent="0.3">
      <c r="A66" s="8" t="s">
        <v>84</v>
      </c>
      <c r="B66" s="4"/>
      <c r="C66" s="4"/>
      <c r="D66" s="4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spans="1:14" x14ac:dyDescent="0.3">
      <c r="A67" s="8" t="s">
        <v>30</v>
      </c>
      <c r="B67" s="4" t="s">
        <v>33</v>
      </c>
      <c r="C67" s="4" t="s">
        <v>34</v>
      </c>
      <c r="D67" s="4" t="s">
        <v>31</v>
      </c>
      <c r="E67" s="9" t="s">
        <v>467</v>
      </c>
      <c r="F67" s="9" t="s">
        <v>467</v>
      </c>
      <c r="G67" s="9" t="s">
        <v>467</v>
      </c>
      <c r="H67" s="9" t="s">
        <v>467</v>
      </c>
      <c r="I67" s="9">
        <v>45</v>
      </c>
      <c r="J67" s="9">
        <v>48</v>
      </c>
      <c r="K67" s="9">
        <v>52</v>
      </c>
      <c r="L67" s="9">
        <v>48</v>
      </c>
      <c r="M67" s="9">
        <v>58.425707605162906</v>
      </c>
      <c r="N67" s="9">
        <v>59.804405662663484</v>
      </c>
    </row>
    <row r="68" spans="1:14" x14ac:dyDescent="0.3">
      <c r="A68" s="8" t="s">
        <v>77</v>
      </c>
      <c r="B68" s="4" t="s">
        <v>33</v>
      </c>
      <c r="C68" s="4" t="s">
        <v>34</v>
      </c>
      <c r="D68" s="4" t="s">
        <v>78</v>
      </c>
      <c r="E68" s="9" t="s">
        <v>467</v>
      </c>
      <c r="F68" s="9" t="s">
        <v>467</v>
      </c>
      <c r="G68" s="9" t="s">
        <v>467</v>
      </c>
      <c r="H68" s="9" t="s">
        <v>467</v>
      </c>
      <c r="I68" s="9">
        <v>41</v>
      </c>
      <c r="J68" s="9">
        <v>41</v>
      </c>
      <c r="K68" s="9">
        <v>39</v>
      </c>
      <c r="L68" s="9">
        <v>38</v>
      </c>
      <c r="M68" s="9" t="s">
        <v>467</v>
      </c>
      <c r="N68" s="9" t="s">
        <v>467</v>
      </c>
    </row>
    <row r="69" spans="1:14" x14ac:dyDescent="0.3">
      <c r="A69" s="8" t="s">
        <v>85</v>
      </c>
      <c r="B69" s="4" t="s">
        <v>33</v>
      </c>
      <c r="C69" s="4" t="s">
        <v>34</v>
      </c>
      <c r="D69" s="4" t="s">
        <v>86</v>
      </c>
      <c r="E69" s="9" t="s">
        <v>467</v>
      </c>
      <c r="F69" s="9" t="s">
        <v>467</v>
      </c>
      <c r="G69" s="9" t="s">
        <v>467</v>
      </c>
      <c r="H69" s="9" t="s">
        <v>467</v>
      </c>
      <c r="I69" s="9" t="s">
        <v>467</v>
      </c>
      <c r="J69" s="9" t="s">
        <v>467</v>
      </c>
      <c r="K69" s="9" t="s">
        <v>467</v>
      </c>
      <c r="L69" s="9">
        <v>7</v>
      </c>
      <c r="M69" s="9">
        <v>5.550000000000022</v>
      </c>
      <c r="N69" s="9">
        <v>4.9500000000000437</v>
      </c>
    </row>
    <row r="70" spans="1:14" x14ac:dyDescent="0.3">
      <c r="A70" s="8" t="s">
        <v>79</v>
      </c>
      <c r="B70" s="4" t="s">
        <v>33</v>
      </c>
      <c r="C70" s="4" t="s">
        <v>34</v>
      </c>
      <c r="D70" s="4" t="s">
        <v>80</v>
      </c>
      <c r="E70" s="9" t="s">
        <v>467</v>
      </c>
      <c r="F70" s="9" t="s">
        <v>467</v>
      </c>
      <c r="G70" s="9" t="s">
        <v>467</v>
      </c>
      <c r="H70" s="9" t="s">
        <v>467</v>
      </c>
      <c r="I70" s="9">
        <v>7</v>
      </c>
      <c r="J70" s="9">
        <v>6</v>
      </c>
      <c r="K70" s="9">
        <v>5</v>
      </c>
      <c r="L70" s="9" t="s">
        <v>467</v>
      </c>
      <c r="M70" s="9" t="s">
        <v>467</v>
      </c>
      <c r="N70" s="9" t="s">
        <v>467</v>
      </c>
    </row>
    <row r="71" spans="1:14" x14ac:dyDescent="0.3">
      <c r="A71" s="8" t="s">
        <v>82</v>
      </c>
      <c r="B71" s="4" t="s">
        <v>33</v>
      </c>
      <c r="C71" s="4" t="s">
        <v>34</v>
      </c>
      <c r="D71" s="4" t="s">
        <v>83</v>
      </c>
      <c r="E71" s="9" t="s">
        <v>467</v>
      </c>
      <c r="F71" s="9" t="s">
        <v>467</v>
      </c>
      <c r="G71" s="9" t="s">
        <v>467</v>
      </c>
      <c r="H71" s="9" t="s">
        <v>467</v>
      </c>
      <c r="I71" s="9">
        <v>7</v>
      </c>
      <c r="J71" s="9">
        <v>5</v>
      </c>
      <c r="K71" s="9">
        <v>3</v>
      </c>
      <c r="L71" s="9" t="s">
        <v>467</v>
      </c>
      <c r="M71" s="9" t="s">
        <v>467</v>
      </c>
      <c r="N71" s="9" t="s">
        <v>467</v>
      </c>
    </row>
    <row r="72" spans="1:14" x14ac:dyDescent="0.3">
      <c r="A72" s="8" t="s">
        <v>14</v>
      </c>
      <c r="B72" s="4"/>
      <c r="C72" s="4"/>
      <c r="D72" s="4"/>
      <c r="E72" s="9"/>
      <c r="F72" s="9"/>
      <c r="G72" s="9"/>
      <c r="H72" s="9"/>
      <c r="I72" s="9"/>
      <c r="J72" s="9"/>
      <c r="K72" s="9"/>
      <c r="L72" s="9"/>
      <c r="M72" s="9"/>
      <c r="N72" s="9"/>
    </row>
    <row r="73" spans="1:14" x14ac:dyDescent="0.3">
      <c r="A73" s="8" t="s">
        <v>87</v>
      </c>
      <c r="B73" s="4" t="s">
        <v>88</v>
      </c>
      <c r="C73" s="4" t="s">
        <v>89</v>
      </c>
      <c r="D73" s="4"/>
      <c r="E73" s="9" t="s">
        <v>467</v>
      </c>
      <c r="F73" s="9" t="s">
        <v>467</v>
      </c>
      <c r="G73" s="9" t="s">
        <v>467</v>
      </c>
      <c r="H73" s="9">
        <v>285.06</v>
      </c>
      <c r="I73" s="9">
        <v>492.30099999999999</v>
      </c>
      <c r="J73" s="9">
        <v>765.37900000000002</v>
      </c>
      <c r="K73" s="9">
        <v>1076.32</v>
      </c>
      <c r="L73" s="9">
        <v>1578.2829999999999</v>
      </c>
      <c r="M73" s="9">
        <v>1716.5970442400835</v>
      </c>
      <c r="N73" s="9">
        <v>2067.462130836846</v>
      </c>
    </row>
    <row r="74" spans="1:14" x14ac:dyDescent="0.3">
      <c r="A74" s="8" t="s">
        <v>90</v>
      </c>
      <c r="B74" s="4" t="s">
        <v>91</v>
      </c>
      <c r="C74" s="4" t="s">
        <v>92</v>
      </c>
      <c r="D74" s="4"/>
      <c r="E74" s="9" t="s">
        <v>467</v>
      </c>
      <c r="F74" s="9" t="s">
        <v>467</v>
      </c>
      <c r="G74" s="9" t="s">
        <v>467</v>
      </c>
      <c r="H74" s="9">
        <v>249.572</v>
      </c>
      <c r="I74" s="9">
        <v>313.68599999999998</v>
      </c>
      <c r="J74" s="9">
        <v>426.565</v>
      </c>
      <c r="K74" s="9">
        <v>565.48599999999999</v>
      </c>
      <c r="L74" s="9">
        <v>685.77</v>
      </c>
      <c r="M74" s="9">
        <v>797.043869911868</v>
      </c>
      <c r="N74" s="9">
        <v>929.89181844513905</v>
      </c>
    </row>
    <row r="75" spans="1:14" x14ac:dyDescent="0.3">
      <c r="A75" s="8" t="s">
        <v>93</v>
      </c>
      <c r="B75" s="4" t="s">
        <v>94</v>
      </c>
      <c r="C75" s="4" t="s">
        <v>95</v>
      </c>
      <c r="D75" s="4"/>
      <c r="E75" s="9" t="s">
        <v>467</v>
      </c>
      <c r="F75" s="9" t="s">
        <v>467</v>
      </c>
      <c r="G75" s="9">
        <v>95.421999999999997</v>
      </c>
      <c r="H75" s="9">
        <v>35.159999999999997</v>
      </c>
      <c r="I75" s="9">
        <v>64.001000000000005</v>
      </c>
      <c r="J75" s="9">
        <v>112.879</v>
      </c>
      <c r="K75" s="9">
        <v>138.91999999999999</v>
      </c>
      <c r="L75" s="9">
        <v>120.283</v>
      </c>
      <c r="M75" s="9">
        <v>114.3623646665833</v>
      </c>
      <c r="N75" s="9">
        <v>144.40398198878023</v>
      </c>
    </row>
    <row r="76" spans="1:14" x14ac:dyDescent="0.3">
      <c r="A76" s="8" t="s">
        <v>96</v>
      </c>
      <c r="B76" s="4" t="s">
        <v>97</v>
      </c>
      <c r="C76" s="4" t="s">
        <v>98</v>
      </c>
      <c r="D76" s="4"/>
      <c r="E76" s="9" t="s">
        <v>467</v>
      </c>
      <c r="F76" s="9" t="s">
        <v>467</v>
      </c>
      <c r="G76" s="9">
        <v>538.79999999999995</v>
      </c>
      <c r="H76" s="9">
        <v>779.1</v>
      </c>
      <c r="I76" s="9">
        <v>1055.5</v>
      </c>
      <c r="J76" s="9">
        <v>1450.8</v>
      </c>
      <c r="K76" s="9">
        <v>2001.2</v>
      </c>
      <c r="L76" s="9">
        <v>2651.2</v>
      </c>
      <c r="M76" s="9" t="s">
        <v>467</v>
      </c>
      <c r="N76" s="9" t="s">
        <v>467</v>
      </c>
    </row>
    <row r="77" spans="1:14" x14ac:dyDescent="0.3">
      <c r="A77" s="8" t="s">
        <v>99</v>
      </c>
      <c r="B77" s="4" t="s">
        <v>100</v>
      </c>
      <c r="C77" s="4" t="s">
        <v>101</v>
      </c>
      <c r="D77" s="4"/>
      <c r="E77" s="9" t="s">
        <v>467</v>
      </c>
      <c r="F77" s="9" t="s">
        <v>467</v>
      </c>
      <c r="G77" s="9" t="s">
        <v>467</v>
      </c>
      <c r="H77" s="9">
        <v>326.60000000000002</v>
      </c>
      <c r="I77" s="9">
        <v>499.7</v>
      </c>
      <c r="J77" s="9">
        <v>694.8</v>
      </c>
      <c r="K77" s="9">
        <v>948.1</v>
      </c>
      <c r="L77" s="9">
        <v>1253.8</v>
      </c>
      <c r="M77" s="9" t="s">
        <v>467</v>
      </c>
      <c r="N77" s="9" t="s">
        <v>467</v>
      </c>
    </row>
    <row r="78" spans="1:14" x14ac:dyDescent="0.3">
      <c r="A78" s="8" t="s">
        <v>102</v>
      </c>
      <c r="B78" s="4" t="s">
        <v>103</v>
      </c>
      <c r="C78" s="4" t="s">
        <v>104</v>
      </c>
      <c r="D78" s="4"/>
      <c r="E78" s="9" t="s">
        <v>467</v>
      </c>
      <c r="F78" s="9" t="s">
        <v>467</v>
      </c>
      <c r="G78" s="9">
        <v>538.79999999999995</v>
      </c>
      <c r="H78" s="9">
        <v>452.5</v>
      </c>
      <c r="I78" s="9">
        <v>555.79999999999995</v>
      </c>
      <c r="J78" s="9">
        <v>756</v>
      </c>
      <c r="K78" s="9">
        <v>1053.0999999999999</v>
      </c>
      <c r="L78" s="9">
        <v>1397.4</v>
      </c>
      <c r="M78" s="9" t="s">
        <v>467</v>
      </c>
      <c r="N78" s="9" t="s">
        <v>467</v>
      </c>
    </row>
    <row r="79" spans="1:14" x14ac:dyDescent="0.3">
      <c r="A79" s="8" t="s">
        <v>105</v>
      </c>
      <c r="B79" s="4" t="s">
        <v>106</v>
      </c>
      <c r="C79" s="4" t="s">
        <v>107</v>
      </c>
      <c r="D79" s="4"/>
      <c r="E79" s="9" t="s">
        <v>467</v>
      </c>
      <c r="F79" s="9" t="s">
        <v>467</v>
      </c>
      <c r="G79" s="9">
        <v>228.89500000000001</v>
      </c>
      <c r="H79" s="9">
        <v>277.48500000000001</v>
      </c>
      <c r="I79" s="9">
        <v>451.05200000000002</v>
      </c>
      <c r="J79" s="9">
        <v>540.88300000000004</v>
      </c>
      <c r="K79" s="9">
        <v>681.69200000000001</v>
      </c>
      <c r="L79" s="9">
        <v>836.25699999999995</v>
      </c>
      <c r="M79" s="9">
        <v>975.52853500000003</v>
      </c>
      <c r="N79" s="9">
        <v>1132.740544475</v>
      </c>
    </row>
    <row r="80" spans="1:14" x14ac:dyDescent="0.3">
      <c r="A80" s="8" t="s">
        <v>108</v>
      </c>
      <c r="B80" s="4" t="s">
        <v>109</v>
      </c>
      <c r="C80" s="4" t="s">
        <v>110</v>
      </c>
      <c r="D80" s="4"/>
      <c r="E80" s="9" t="s">
        <v>467</v>
      </c>
      <c r="F80" s="9" t="s">
        <v>467</v>
      </c>
      <c r="G80" s="9">
        <v>104.75260501397406</v>
      </c>
      <c r="H80" s="9">
        <v>61.536471859306538</v>
      </c>
      <c r="I80" s="9">
        <v>69.671101565327007</v>
      </c>
      <c r="J80" s="9">
        <v>68.537170616585826</v>
      </c>
      <c r="K80" s="9">
        <v>64.048986275649824</v>
      </c>
      <c r="L80" s="9">
        <v>68.189154810402499</v>
      </c>
      <c r="M80" s="9">
        <v>75.632686924585485</v>
      </c>
      <c r="N80" s="9">
        <v>101.0374020522811</v>
      </c>
    </row>
    <row r="81" spans="1:14" x14ac:dyDescent="0.3">
      <c r="A81" s="8" t="s">
        <v>111</v>
      </c>
      <c r="B81" s="4" t="s">
        <v>112</v>
      </c>
      <c r="C81" s="4" t="s">
        <v>113</v>
      </c>
      <c r="D81" s="4"/>
      <c r="E81" s="9" t="s">
        <v>467</v>
      </c>
      <c r="F81" s="9" t="s">
        <v>467</v>
      </c>
      <c r="G81" s="9" t="s">
        <v>467</v>
      </c>
      <c r="H81" s="9" t="s">
        <v>467</v>
      </c>
      <c r="I81" s="9" t="s">
        <v>467</v>
      </c>
      <c r="J81" s="9" t="s">
        <v>467</v>
      </c>
      <c r="K81" s="9" t="s">
        <v>467</v>
      </c>
      <c r="L81" s="9" t="s">
        <v>467</v>
      </c>
      <c r="M81" s="9" t="s">
        <v>467</v>
      </c>
      <c r="N81" s="9" t="s">
        <v>467</v>
      </c>
    </row>
    <row r="82" spans="1:14" x14ac:dyDescent="0.3">
      <c r="A82" s="8" t="s">
        <v>114</v>
      </c>
      <c r="B82" s="4" t="s">
        <v>115</v>
      </c>
      <c r="C82" s="4" t="s">
        <v>116</v>
      </c>
      <c r="D82" s="4"/>
      <c r="E82" s="9" t="s">
        <v>467</v>
      </c>
      <c r="F82" s="9" t="s">
        <v>467</v>
      </c>
      <c r="G82" s="9">
        <v>1.8716838334985937</v>
      </c>
      <c r="H82" s="9">
        <v>2.3175632956186125</v>
      </c>
      <c r="I82" s="9">
        <v>3.2522474052483306</v>
      </c>
      <c r="J82" s="9">
        <v>2.1655946516855966</v>
      </c>
      <c r="K82" s="9">
        <v>1.498705678792057</v>
      </c>
      <c r="L82" s="9">
        <v>1.5041177073236085</v>
      </c>
      <c r="M82" s="9">
        <v>1.8897099600291976</v>
      </c>
      <c r="N82" s="9">
        <v>2.1824732686115524</v>
      </c>
    </row>
    <row r="83" spans="1:14" x14ac:dyDescent="0.3">
      <c r="A83" s="8" t="s">
        <v>117</v>
      </c>
      <c r="B83" s="4" t="s">
        <v>118</v>
      </c>
      <c r="C83" s="4" t="s">
        <v>119</v>
      </c>
      <c r="D83" s="4"/>
      <c r="E83" s="9" t="s">
        <v>467</v>
      </c>
      <c r="F83" s="9" t="s">
        <v>467</v>
      </c>
      <c r="G83" s="9">
        <v>125.43710939116758</v>
      </c>
      <c r="H83" s="9">
        <v>66.018542835541766</v>
      </c>
      <c r="I83" s="9">
        <v>96.690241316153077</v>
      </c>
      <c r="J83" s="9">
        <v>80.850582515767343</v>
      </c>
      <c r="K83" s="9">
        <v>33.397689368179023</v>
      </c>
      <c r="L83" s="9">
        <v>47.477730364272048</v>
      </c>
      <c r="M83" s="9">
        <v>41.953050849332854</v>
      </c>
      <c r="N83" s="9">
        <v>45.741278254348288</v>
      </c>
    </row>
    <row r="84" spans="1:14" x14ac:dyDescent="0.3">
      <c r="A84" s="8" t="s">
        <v>120</v>
      </c>
      <c r="B84" s="4" t="s">
        <v>121</v>
      </c>
      <c r="C84" s="4" t="s">
        <v>122</v>
      </c>
      <c r="D84" s="4"/>
      <c r="E84" s="9" t="s">
        <v>467</v>
      </c>
      <c r="F84" s="9" t="s">
        <v>467</v>
      </c>
      <c r="G84" s="9" t="s">
        <v>467</v>
      </c>
      <c r="H84" s="9">
        <v>89.975245000068924</v>
      </c>
      <c r="I84" s="9">
        <v>93.740556169505894</v>
      </c>
      <c r="J84" s="9">
        <v>81.208024821203196</v>
      </c>
      <c r="K84" s="9">
        <v>61.98906641480724</v>
      </c>
      <c r="L84" s="9">
        <v>63.728947218042251</v>
      </c>
      <c r="M84" s="9" t="s">
        <v>467</v>
      </c>
      <c r="N84" s="9" t="s">
        <v>467</v>
      </c>
    </row>
    <row r="85" spans="1:14" x14ac:dyDescent="0.3">
      <c r="A85" s="8" t="s">
        <v>14</v>
      </c>
      <c r="B85" s="4"/>
      <c r="C85" s="4"/>
      <c r="D85" s="4"/>
      <c r="E85" s="9"/>
      <c r="F85" s="9"/>
      <c r="G85" s="9"/>
      <c r="H85" s="9"/>
      <c r="I85" s="9"/>
      <c r="J85" s="9"/>
      <c r="K85" s="9"/>
      <c r="L85" s="9"/>
      <c r="M85" s="9"/>
      <c r="N85" s="9"/>
    </row>
    <row r="86" spans="1:14" x14ac:dyDescent="0.3">
      <c r="A86" s="8" t="s">
        <v>123</v>
      </c>
      <c r="B86" s="4"/>
      <c r="C86" s="4"/>
      <c r="D86" s="4"/>
      <c r="E86" s="9"/>
      <c r="F86" s="9"/>
      <c r="G86" s="9"/>
      <c r="H86" s="9"/>
      <c r="I86" s="9"/>
      <c r="J86" s="9"/>
      <c r="K86" s="9"/>
      <c r="L86" s="9"/>
      <c r="M86" s="9"/>
      <c r="N86" s="9"/>
    </row>
    <row r="87" spans="1:14" x14ac:dyDescent="0.3">
      <c r="A87" s="8" t="s">
        <v>11</v>
      </c>
      <c r="B87" s="4"/>
      <c r="C87" s="4"/>
      <c r="D87" s="4"/>
      <c r="E87" s="9"/>
      <c r="F87" s="9"/>
      <c r="G87" s="9"/>
      <c r="H87" s="9"/>
      <c r="I87" s="9"/>
      <c r="J87" s="9"/>
      <c r="K87" s="9"/>
      <c r="L87" s="9"/>
      <c r="M87" s="9"/>
      <c r="N87" s="9"/>
    </row>
    <row r="88" spans="1:14" x14ac:dyDescent="0.3">
      <c r="A88" s="8" t="s">
        <v>124</v>
      </c>
      <c r="B88" s="4" t="s">
        <v>125</v>
      </c>
      <c r="C88" s="4" t="s">
        <v>126</v>
      </c>
      <c r="D88" s="4" t="s">
        <v>127</v>
      </c>
      <c r="E88" s="9" t="s">
        <v>467</v>
      </c>
      <c r="F88" s="9" t="s">
        <v>467</v>
      </c>
      <c r="G88" s="9">
        <v>116.992</v>
      </c>
      <c r="H88" s="9">
        <v>245.48099999999999</v>
      </c>
      <c r="I88" s="9">
        <v>418.98</v>
      </c>
      <c r="J88" s="9">
        <v>639.53300000000002</v>
      </c>
      <c r="K88" s="9">
        <v>919.36199999999997</v>
      </c>
      <c r="L88" s="9">
        <v>1225.777</v>
      </c>
      <c r="M88" s="9">
        <v>1567.5548611906111</v>
      </c>
      <c r="N88" s="9">
        <v>1888.2354168717238</v>
      </c>
    </row>
    <row r="89" spans="1:14" x14ac:dyDescent="0.3">
      <c r="A89" s="8" t="s">
        <v>128</v>
      </c>
      <c r="B89" s="4" t="s">
        <v>125</v>
      </c>
      <c r="C89" s="4" t="s">
        <v>126</v>
      </c>
      <c r="D89" s="4" t="s">
        <v>129</v>
      </c>
      <c r="E89" s="9" t="s">
        <v>467</v>
      </c>
      <c r="F89" s="9" t="s">
        <v>467</v>
      </c>
      <c r="G89" s="9">
        <v>2.8730000000000002</v>
      </c>
      <c r="H89" s="9">
        <v>4.4240000000000004</v>
      </c>
      <c r="I89" s="9">
        <v>9.3650000000000002</v>
      </c>
      <c r="J89" s="9">
        <v>13.012</v>
      </c>
      <c r="K89" s="9">
        <v>18.023</v>
      </c>
      <c r="L89" s="9">
        <v>23.422000000000001</v>
      </c>
      <c r="M89" s="9">
        <v>32.086748255112013</v>
      </c>
      <c r="N89" s="9">
        <v>41.741955920148527</v>
      </c>
    </row>
    <row r="90" spans="1:14" x14ac:dyDescent="0.3">
      <c r="A90" s="8" t="s">
        <v>14</v>
      </c>
      <c r="B90" s="4"/>
      <c r="C90" s="4"/>
      <c r="D90" s="4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8" t="s">
        <v>130</v>
      </c>
      <c r="B91" s="4"/>
      <c r="C91" s="4"/>
      <c r="D91" s="4"/>
      <c r="E91" s="9"/>
      <c r="F91" s="9"/>
      <c r="G91" s="9"/>
      <c r="H91" s="9"/>
      <c r="I91" s="9"/>
      <c r="J91" s="9"/>
      <c r="K91" s="9"/>
      <c r="L91" s="9"/>
      <c r="M91" s="9"/>
      <c r="N91" s="9"/>
    </row>
    <row r="92" spans="1:14" x14ac:dyDescent="0.3">
      <c r="A92" s="8" t="s">
        <v>29</v>
      </c>
      <c r="B92" s="4" t="s">
        <v>16</v>
      </c>
      <c r="C92" s="4" t="s">
        <v>17</v>
      </c>
      <c r="D92" s="4"/>
      <c r="E92" s="9" t="s">
        <v>467</v>
      </c>
      <c r="F92" s="9" t="s">
        <v>467</v>
      </c>
      <c r="G92" s="9">
        <v>194</v>
      </c>
      <c r="H92" s="9">
        <v>341</v>
      </c>
      <c r="I92" s="9">
        <v>558</v>
      </c>
      <c r="J92" s="9">
        <v>795.053</v>
      </c>
      <c r="K92" s="9">
        <v>1101.981</v>
      </c>
      <c r="L92" s="9">
        <v>1457.8689999999999</v>
      </c>
      <c r="M92" s="9">
        <v>1834.9106811025665</v>
      </c>
      <c r="N92" s="9">
        <v>2221.213203620649</v>
      </c>
    </row>
    <row r="93" spans="1:14" x14ac:dyDescent="0.3">
      <c r="A93" s="8" t="s">
        <v>131</v>
      </c>
      <c r="B93" s="4" t="s">
        <v>16</v>
      </c>
      <c r="C93" s="4" t="s">
        <v>17</v>
      </c>
      <c r="D93" s="4" t="s">
        <v>132</v>
      </c>
      <c r="E93" s="9" t="s">
        <v>467</v>
      </c>
      <c r="F93" s="9" t="s">
        <v>467</v>
      </c>
      <c r="G93" s="9" t="s">
        <v>467</v>
      </c>
      <c r="H93" s="9" t="s">
        <v>467</v>
      </c>
      <c r="I93" s="9" t="s">
        <v>467</v>
      </c>
      <c r="J93" s="9" t="s">
        <v>467</v>
      </c>
      <c r="K93" s="9" t="s">
        <v>467</v>
      </c>
      <c r="L93" s="9" t="s">
        <v>467</v>
      </c>
      <c r="M93" s="9">
        <v>2654.7858720421882</v>
      </c>
      <c r="N93" s="9" t="s">
        <v>467</v>
      </c>
    </row>
    <row r="94" spans="1:14" x14ac:dyDescent="0.3">
      <c r="A94" s="8" t="s">
        <v>133</v>
      </c>
      <c r="B94" s="4" t="s">
        <v>33</v>
      </c>
      <c r="C94" s="4" t="s">
        <v>34</v>
      </c>
      <c r="D94" s="4" t="s">
        <v>132</v>
      </c>
      <c r="E94" s="9" t="s">
        <v>467</v>
      </c>
      <c r="F94" s="9" t="s">
        <v>467</v>
      </c>
      <c r="G94" s="9" t="s">
        <v>467</v>
      </c>
      <c r="H94" s="9" t="s">
        <v>467</v>
      </c>
      <c r="I94" s="9" t="s">
        <v>467</v>
      </c>
      <c r="J94" s="9" t="s">
        <v>467</v>
      </c>
      <c r="K94" s="9" t="s">
        <v>467</v>
      </c>
      <c r="L94" s="9" t="s">
        <v>467</v>
      </c>
      <c r="M94" s="9">
        <v>39.420682634823493</v>
      </c>
      <c r="N94" s="9" t="s">
        <v>467</v>
      </c>
    </row>
    <row r="95" spans="1:14" x14ac:dyDescent="0.3">
      <c r="A95" s="8" t="s">
        <v>134</v>
      </c>
      <c r="B95" s="4" t="s">
        <v>16</v>
      </c>
      <c r="C95" s="4" t="s">
        <v>17</v>
      </c>
      <c r="D95" s="4" t="s">
        <v>135</v>
      </c>
      <c r="E95" s="9" t="s">
        <v>467</v>
      </c>
      <c r="F95" s="9" t="s">
        <v>467</v>
      </c>
      <c r="G95" s="9" t="s">
        <v>467</v>
      </c>
      <c r="H95" s="9" t="s">
        <v>467</v>
      </c>
      <c r="I95" s="9" t="s">
        <v>467</v>
      </c>
      <c r="J95" s="9" t="s">
        <v>467</v>
      </c>
      <c r="K95" s="9" t="s">
        <v>467</v>
      </c>
      <c r="L95" s="9" t="s">
        <v>467</v>
      </c>
      <c r="M95" s="9" t="s">
        <v>467</v>
      </c>
      <c r="N95" s="9" t="s">
        <v>467</v>
      </c>
    </row>
    <row r="96" spans="1:14" x14ac:dyDescent="0.3">
      <c r="A96" s="8" t="s">
        <v>133</v>
      </c>
      <c r="B96" s="4" t="s">
        <v>33</v>
      </c>
      <c r="C96" s="4" t="s">
        <v>34</v>
      </c>
      <c r="D96" s="4" t="s">
        <v>135</v>
      </c>
      <c r="E96" s="9" t="s">
        <v>467</v>
      </c>
      <c r="F96" s="9" t="s">
        <v>467</v>
      </c>
      <c r="G96" s="9" t="s">
        <v>467</v>
      </c>
      <c r="H96" s="9" t="s">
        <v>467</v>
      </c>
      <c r="I96" s="9" t="s">
        <v>467</v>
      </c>
      <c r="J96" s="9" t="s">
        <v>467</v>
      </c>
      <c r="K96" s="9" t="s">
        <v>467</v>
      </c>
      <c r="L96" s="9" t="s">
        <v>467</v>
      </c>
      <c r="M96" s="9">
        <v>49.349565327753112</v>
      </c>
      <c r="N96" s="9" t="s">
        <v>467</v>
      </c>
    </row>
    <row r="97" spans="1:16" x14ac:dyDescent="0.3">
      <c r="A97" s="8" t="s">
        <v>136</v>
      </c>
      <c r="B97" s="4" t="s">
        <v>53</v>
      </c>
      <c r="C97" s="4" t="s">
        <v>53</v>
      </c>
      <c r="D97" s="4" t="s">
        <v>137</v>
      </c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6" x14ac:dyDescent="0.3">
      <c r="A98" s="8" t="s">
        <v>133</v>
      </c>
      <c r="B98" s="4" t="s">
        <v>33</v>
      </c>
      <c r="C98" s="4" t="s">
        <v>34</v>
      </c>
      <c r="D98" s="4" t="s">
        <v>137</v>
      </c>
      <c r="E98" s="9" t="s">
        <v>467</v>
      </c>
      <c r="F98" s="9" t="s">
        <v>467</v>
      </c>
      <c r="G98" s="9" t="s">
        <v>467</v>
      </c>
      <c r="H98" s="9" t="s">
        <v>467</v>
      </c>
      <c r="I98" s="9" t="s">
        <v>467</v>
      </c>
      <c r="J98" s="9" t="s">
        <v>467</v>
      </c>
      <c r="K98" s="9" t="s">
        <v>467</v>
      </c>
      <c r="L98" s="9" t="s">
        <v>467</v>
      </c>
      <c r="M98" s="9">
        <v>13.453268363146826</v>
      </c>
      <c r="N98" s="9">
        <v>15.276688909229399</v>
      </c>
      <c r="P98" s="46"/>
    </row>
    <row r="99" spans="1:16" x14ac:dyDescent="0.3">
      <c r="A99" s="8" t="s">
        <v>14</v>
      </c>
      <c r="B99" s="4"/>
      <c r="C99" s="4"/>
      <c r="D99" s="4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6" x14ac:dyDescent="0.3">
      <c r="A100" s="8" t="s">
        <v>138</v>
      </c>
      <c r="B100" s="4" t="s">
        <v>46</v>
      </c>
      <c r="C100" s="4" t="s">
        <v>47</v>
      </c>
      <c r="D100" s="4"/>
      <c r="E100" s="9" t="s">
        <v>467</v>
      </c>
      <c r="F100" s="9" t="s">
        <v>467</v>
      </c>
      <c r="G100" s="9" t="s">
        <v>467</v>
      </c>
      <c r="H100" s="9">
        <v>147</v>
      </c>
      <c r="I100" s="9">
        <v>217</v>
      </c>
      <c r="J100" s="9">
        <v>237.1</v>
      </c>
      <c r="K100" s="9">
        <v>1102</v>
      </c>
      <c r="L100" s="9">
        <v>1460</v>
      </c>
      <c r="M100" s="9">
        <v>376.94233455424228</v>
      </c>
      <c r="N100" s="9">
        <v>386.86710633299879</v>
      </c>
    </row>
    <row r="101" spans="1:16" x14ac:dyDescent="0.3">
      <c r="A101" s="8" t="s">
        <v>131</v>
      </c>
      <c r="B101" s="4" t="s">
        <v>46</v>
      </c>
      <c r="C101" s="4" t="s">
        <v>47</v>
      </c>
      <c r="D101" s="4" t="s">
        <v>132</v>
      </c>
      <c r="E101" s="9" t="s">
        <v>467</v>
      </c>
      <c r="F101" s="9" t="s">
        <v>467</v>
      </c>
      <c r="G101" s="9" t="s">
        <v>467</v>
      </c>
      <c r="H101" s="9" t="s">
        <v>467</v>
      </c>
      <c r="I101" s="9" t="s">
        <v>467</v>
      </c>
      <c r="J101" s="9" t="s">
        <v>467</v>
      </c>
      <c r="K101" s="9" t="s">
        <v>467</v>
      </c>
      <c r="L101" s="9" t="s">
        <v>467</v>
      </c>
      <c r="M101" s="9">
        <v>148.19750000000013</v>
      </c>
      <c r="N101" s="9" t="s">
        <v>467</v>
      </c>
    </row>
    <row r="102" spans="1:16" x14ac:dyDescent="0.3">
      <c r="A102" s="8" t="s">
        <v>134</v>
      </c>
      <c r="B102" s="4" t="s">
        <v>46</v>
      </c>
      <c r="C102" s="4" t="s">
        <v>47</v>
      </c>
      <c r="D102" s="4" t="s">
        <v>135</v>
      </c>
      <c r="E102" s="9" t="s">
        <v>467</v>
      </c>
      <c r="F102" s="9" t="s">
        <v>467</v>
      </c>
      <c r="G102" s="9" t="s">
        <v>467</v>
      </c>
      <c r="H102" s="9" t="s">
        <v>467</v>
      </c>
      <c r="I102" s="9" t="s">
        <v>467</v>
      </c>
      <c r="J102" s="9" t="s">
        <v>467</v>
      </c>
      <c r="K102" s="9" t="s">
        <v>467</v>
      </c>
      <c r="L102" s="9" t="s">
        <v>467</v>
      </c>
      <c r="M102" s="9">
        <v>177.13485000000003</v>
      </c>
      <c r="N102" s="9">
        <v>191.63366550000012</v>
      </c>
    </row>
    <row r="103" spans="1:16" x14ac:dyDescent="0.3">
      <c r="A103" s="8" t="s">
        <v>136</v>
      </c>
      <c r="B103" s="4" t="s">
        <v>46</v>
      </c>
      <c r="C103" s="4" t="s">
        <v>47</v>
      </c>
      <c r="D103" s="4" t="s">
        <v>137</v>
      </c>
      <c r="E103" s="9" t="s">
        <v>467</v>
      </c>
      <c r="F103" s="9" t="s">
        <v>467</v>
      </c>
      <c r="G103" s="9" t="s">
        <v>467</v>
      </c>
      <c r="H103" s="9" t="s">
        <v>467</v>
      </c>
      <c r="I103" s="9" t="s">
        <v>467</v>
      </c>
      <c r="J103" s="9" t="s">
        <v>467</v>
      </c>
      <c r="K103" s="9" t="s">
        <v>467</v>
      </c>
      <c r="L103" s="9" t="s">
        <v>467</v>
      </c>
      <c r="M103" s="9">
        <v>71.728679999999997</v>
      </c>
      <c r="N103" s="9">
        <v>94.9705218</v>
      </c>
    </row>
    <row r="104" spans="1:16" x14ac:dyDescent="0.3">
      <c r="A104" s="8" t="s">
        <v>14</v>
      </c>
      <c r="B104" s="4"/>
      <c r="C104" s="4"/>
      <c r="D104" s="4"/>
      <c r="E104" s="9"/>
      <c r="F104" s="9"/>
      <c r="G104" s="9"/>
      <c r="H104" s="9"/>
      <c r="I104" s="9"/>
      <c r="J104" s="9"/>
      <c r="K104" s="9"/>
      <c r="L104" s="9"/>
      <c r="M104" s="9"/>
      <c r="N104" s="9"/>
    </row>
    <row r="105" spans="1:16" x14ac:dyDescent="0.3">
      <c r="A105" s="8" t="s">
        <v>139</v>
      </c>
      <c r="B105" s="4"/>
      <c r="C105" s="4"/>
      <c r="D105" s="4"/>
      <c r="E105" s="9"/>
      <c r="F105" s="9"/>
      <c r="G105" s="9"/>
      <c r="H105" s="9"/>
      <c r="I105" s="9"/>
      <c r="J105" s="9"/>
      <c r="K105" s="9"/>
      <c r="L105" s="9"/>
      <c r="M105" s="9"/>
      <c r="N105" s="9"/>
    </row>
    <row r="106" spans="1:16" x14ac:dyDescent="0.3">
      <c r="A106" s="8" t="s">
        <v>11</v>
      </c>
      <c r="B106" s="4"/>
      <c r="C106" s="4"/>
      <c r="D106" s="4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6" x14ac:dyDescent="0.3">
      <c r="A107" s="8" t="s">
        <v>140</v>
      </c>
      <c r="B107" s="4" t="s">
        <v>125</v>
      </c>
      <c r="C107" s="4" t="s">
        <v>126</v>
      </c>
      <c r="D107" s="4" t="s">
        <v>141</v>
      </c>
      <c r="E107" s="9" t="s">
        <v>467</v>
      </c>
      <c r="F107" s="9" t="s">
        <v>467</v>
      </c>
      <c r="G107" s="9">
        <v>113.664</v>
      </c>
      <c r="H107" s="9">
        <v>230.47900000000001</v>
      </c>
      <c r="I107" s="9">
        <v>384.24</v>
      </c>
      <c r="J107" s="9">
        <v>581.755</v>
      </c>
      <c r="K107" s="9">
        <v>821.88499999999999</v>
      </c>
      <c r="L107" s="9">
        <v>1082.481</v>
      </c>
      <c r="M107" s="9">
        <v>1009.3044315022356</v>
      </c>
      <c r="N107" s="9">
        <v>1648.5809276732707</v>
      </c>
    </row>
    <row r="108" spans="1:16" x14ac:dyDescent="0.3">
      <c r="A108" s="8" t="s">
        <v>142</v>
      </c>
      <c r="B108" s="4" t="s">
        <v>125</v>
      </c>
      <c r="C108" s="4" t="s">
        <v>126</v>
      </c>
      <c r="D108" s="4" t="s">
        <v>143</v>
      </c>
      <c r="E108" s="9" t="s">
        <v>467</v>
      </c>
      <c r="F108" s="9" t="s">
        <v>467</v>
      </c>
      <c r="G108" s="9">
        <v>6.2009999999999996</v>
      </c>
      <c r="H108" s="9">
        <v>19.425999999999998</v>
      </c>
      <c r="I108" s="9">
        <v>44.104999999999997</v>
      </c>
      <c r="J108" s="9">
        <v>70.790000000000006</v>
      </c>
      <c r="K108" s="9">
        <v>115.5</v>
      </c>
      <c r="L108" s="9">
        <v>166.71799999999999</v>
      </c>
      <c r="M108" s="9">
        <v>158.85660494442024</v>
      </c>
      <c r="N108" s="9">
        <v>259.47342407213682</v>
      </c>
    </row>
    <row r="109" spans="1:16" x14ac:dyDescent="0.3">
      <c r="A109" s="8" t="s">
        <v>14</v>
      </c>
      <c r="B109" s="4"/>
      <c r="C109" s="4"/>
      <c r="D109" s="4"/>
      <c r="E109" s="9"/>
      <c r="F109" s="9"/>
      <c r="G109" s="9"/>
      <c r="H109" s="9"/>
      <c r="I109" s="9"/>
      <c r="J109" s="9"/>
      <c r="K109" s="9"/>
      <c r="L109" s="9"/>
      <c r="M109" s="9"/>
      <c r="N109" s="9"/>
    </row>
    <row r="110" spans="1:16" x14ac:dyDescent="0.3">
      <c r="A110" s="8" t="s">
        <v>144</v>
      </c>
      <c r="B110" s="4"/>
      <c r="C110" s="4"/>
      <c r="D110" s="4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6" x14ac:dyDescent="0.3">
      <c r="A111" s="8" t="s">
        <v>11</v>
      </c>
      <c r="B111" s="4" t="s">
        <v>12</v>
      </c>
      <c r="C111" s="4" t="s">
        <v>13</v>
      </c>
      <c r="D111" s="4"/>
      <c r="E111" s="9" t="s">
        <v>467</v>
      </c>
      <c r="F111" s="9" t="s">
        <v>467</v>
      </c>
      <c r="G111" s="9">
        <v>119.86499999999999</v>
      </c>
      <c r="H111" s="9">
        <v>249.905</v>
      </c>
      <c r="I111" s="9">
        <v>428.34500000000003</v>
      </c>
      <c r="J111" s="9">
        <v>652.54499999999996</v>
      </c>
      <c r="K111" s="9">
        <v>937.4</v>
      </c>
      <c r="L111" s="9">
        <v>1249.1990000000001</v>
      </c>
      <c r="M111" s="9">
        <v>1577.0555555555557</v>
      </c>
      <c r="N111" s="9">
        <v>1900.6315789473683</v>
      </c>
    </row>
    <row r="112" spans="1:16" x14ac:dyDescent="0.3">
      <c r="A112" s="8" t="s">
        <v>14</v>
      </c>
      <c r="B112" s="4"/>
      <c r="C112" s="4"/>
      <c r="D112" s="4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8" t="s">
        <v>145</v>
      </c>
      <c r="B113" s="4" t="s">
        <v>146</v>
      </c>
      <c r="C113" s="4" t="s">
        <v>147</v>
      </c>
      <c r="D113" s="4"/>
      <c r="E113" s="9" t="s">
        <v>467</v>
      </c>
      <c r="F113" s="9" t="s">
        <v>467</v>
      </c>
      <c r="G113" s="9" t="s">
        <v>467</v>
      </c>
      <c r="H113" s="9" t="s">
        <v>467</v>
      </c>
      <c r="I113" s="9" t="s">
        <v>467</v>
      </c>
      <c r="J113" s="9" t="s">
        <v>467</v>
      </c>
      <c r="K113" s="9">
        <v>247.03200000000001</v>
      </c>
      <c r="L113" s="9">
        <v>282.97199999999998</v>
      </c>
      <c r="M113" s="9">
        <v>355.09878517310636</v>
      </c>
      <c r="N113" s="9">
        <v>429.47397173960059</v>
      </c>
    </row>
    <row r="114" spans="1:14" x14ac:dyDescent="0.3">
      <c r="A114" s="8" t="s">
        <v>148</v>
      </c>
      <c r="B114" s="4" t="s">
        <v>149</v>
      </c>
      <c r="C114" s="4" t="s">
        <v>150</v>
      </c>
      <c r="D114" s="4"/>
      <c r="E114" s="9" t="s">
        <v>467</v>
      </c>
      <c r="F114" s="9" t="s">
        <v>467</v>
      </c>
      <c r="G114" s="9">
        <v>71.549000000000007</v>
      </c>
      <c r="H114" s="9">
        <v>174.52500000000001</v>
      </c>
      <c r="I114" s="9">
        <v>310.20499999999998</v>
      </c>
      <c r="J114" s="9">
        <v>479.35500000000002</v>
      </c>
      <c r="K114" s="9">
        <v>703.07799999999997</v>
      </c>
      <c r="L114" s="9">
        <v>966.22699999999998</v>
      </c>
      <c r="M114" s="9">
        <v>1221.2847055520097</v>
      </c>
      <c r="N114" s="9">
        <v>1467.7793853780606</v>
      </c>
    </row>
    <row r="115" spans="1:14" x14ac:dyDescent="0.3">
      <c r="A115" s="8" t="s">
        <v>151</v>
      </c>
      <c r="B115" s="4" t="s">
        <v>19</v>
      </c>
      <c r="C115" s="4" t="s">
        <v>20</v>
      </c>
      <c r="D115" s="4"/>
      <c r="E115" s="9" t="s">
        <v>467</v>
      </c>
      <c r="F115" s="9" t="s">
        <v>467</v>
      </c>
      <c r="G115" s="9" t="s">
        <v>467</v>
      </c>
      <c r="H115" s="9" t="s">
        <v>467</v>
      </c>
      <c r="I115" s="9">
        <v>72</v>
      </c>
      <c r="J115" s="9">
        <v>73</v>
      </c>
      <c r="K115" s="9">
        <v>75</v>
      </c>
      <c r="L115" s="9">
        <v>77</v>
      </c>
      <c r="M115" s="9">
        <v>77.468031384845602</v>
      </c>
      <c r="N115" s="9">
        <v>77.348724216192011</v>
      </c>
    </row>
    <row r="116" spans="1:14" x14ac:dyDescent="0.3">
      <c r="A116" s="8" t="s">
        <v>14</v>
      </c>
      <c r="B116" s="4"/>
      <c r="C116" s="4"/>
      <c r="D116" s="4"/>
      <c r="E116" s="9"/>
      <c r="F116" s="9"/>
      <c r="G116" s="9"/>
      <c r="H116" s="9"/>
      <c r="I116" s="9"/>
      <c r="J116" s="9"/>
      <c r="K116" s="9"/>
      <c r="L116" s="9"/>
      <c r="M116" s="9"/>
      <c r="N116" s="9"/>
    </row>
    <row r="117" spans="1:14" x14ac:dyDescent="0.3">
      <c r="A117" s="8" t="s">
        <v>152</v>
      </c>
      <c r="B117" s="4" t="s">
        <v>153</v>
      </c>
      <c r="C117" s="4" t="s">
        <v>154</v>
      </c>
      <c r="D117" s="4"/>
      <c r="E117" s="9" t="s">
        <v>467</v>
      </c>
      <c r="F117" s="9" t="s">
        <v>467</v>
      </c>
      <c r="G117" s="9" t="s">
        <v>467</v>
      </c>
      <c r="H117" s="9" t="s">
        <v>467</v>
      </c>
      <c r="I117" s="9" t="s">
        <v>467</v>
      </c>
      <c r="J117" s="9" t="s">
        <v>467</v>
      </c>
      <c r="K117" s="9" t="s">
        <v>467</v>
      </c>
      <c r="L117" s="9" t="s">
        <v>467</v>
      </c>
      <c r="M117" s="9">
        <v>985.66494669816188</v>
      </c>
      <c r="N117" s="9">
        <v>1164.8521343880466</v>
      </c>
    </row>
    <row r="118" spans="1:14" x14ac:dyDescent="0.3">
      <c r="A118" s="8" t="s">
        <v>155</v>
      </c>
      <c r="B118" s="4" t="s">
        <v>156</v>
      </c>
      <c r="C118" s="4" t="s">
        <v>157</v>
      </c>
      <c r="D118" s="4"/>
      <c r="E118" s="9" t="s">
        <v>467</v>
      </c>
      <c r="F118" s="9" t="s">
        <v>467</v>
      </c>
      <c r="G118" s="9">
        <v>66.811999999999998</v>
      </c>
      <c r="H118" s="9">
        <v>85.954999999999998</v>
      </c>
      <c r="I118" s="9">
        <v>102.276</v>
      </c>
      <c r="J118" s="9">
        <v>187.405</v>
      </c>
      <c r="K118" s="9">
        <v>163.36099999999999</v>
      </c>
      <c r="L118" s="9">
        <v>192.46600000000001</v>
      </c>
      <c r="M118" s="9">
        <v>220.73672162591507</v>
      </c>
      <c r="N118" s="9">
        <v>263.18027947173982</v>
      </c>
    </row>
    <row r="119" spans="1:14" x14ac:dyDescent="0.3">
      <c r="A119" s="8" t="s">
        <v>158</v>
      </c>
      <c r="B119" s="4" t="s">
        <v>159</v>
      </c>
      <c r="C119" s="4" t="s">
        <v>160</v>
      </c>
      <c r="D119" s="4"/>
      <c r="E119" s="9" t="s">
        <v>467</v>
      </c>
      <c r="F119" s="9" t="s">
        <v>467</v>
      </c>
      <c r="G119" s="9">
        <v>179.393</v>
      </c>
      <c r="H119" s="9">
        <v>195.315</v>
      </c>
      <c r="I119" s="9">
        <v>228.661</v>
      </c>
      <c r="J119" s="9">
        <v>316.02600000000001</v>
      </c>
      <c r="K119" s="9">
        <v>411.44600000000003</v>
      </c>
      <c r="L119" s="9">
        <v>511.17700000000002</v>
      </c>
      <c r="M119" s="9">
        <v>589.63635610189715</v>
      </c>
      <c r="N119" s="9">
        <v>699.57561036998106</v>
      </c>
    </row>
    <row r="120" spans="1:14" x14ac:dyDescent="0.3">
      <c r="A120" s="8" t="s">
        <v>161</v>
      </c>
      <c r="B120" s="4" t="s">
        <v>162</v>
      </c>
      <c r="C120" s="4" t="s">
        <v>163</v>
      </c>
      <c r="D120" s="4"/>
      <c r="E120" s="9" t="s">
        <v>467</v>
      </c>
      <c r="F120" s="9" t="s">
        <v>467</v>
      </c>
      <c r="G120" s="9">
        <v>44.953000000000003</v>
      </c>
      <c r="H120" s="9">
        <v>70.402000000000001</v>
      </c>
      <c r="I120" s="9">
        <v>93.346000000000004</v>
      </c>
      <c r="J120" s="9">
        <v>117.083</v>
      </c>
      <c r="K120" s="9">
        <v>127.001</v>
      </c>
      <c r="L120" s="9">
        <v>149.03200000000001</v>
      </c>
      <c r="M120" s="9">
        <v>175.14895481887058</v>
      </c>
      <c r="N120" s="9">
        <v>201.27737400244041</v>
      </c>
    </row>
    <row r="121" spans="1:14" x14ac:dyDescent="0.3">
      <c r="A121" s="8" t="s">
        <v>164</v>
      </c>
      <c r="B121" s="4" t="s">
        <v>165</v>
      </c>
      <c r="C121" s="4" t="s">
        <v>166</v>
      </c>
      <c r="D121" s="4"/>
      <c r="E121" s="9" t="s">
        <v>467</v>
      </c>
      <c r="F121" s="9" t="s">
        <v>467</v>
      </c>
      <c r="G121" s="9">
        <v>2.2519999999999998</v>
      </c>
      <c r="H121" s="9">
        <v>7.923</v>
      </c>
      <c r="I121" s="9">
        <v>7.056</v>
      </c>
      <c r="J121" s="9">
        <v>7.867</v>
      </c>
      <c r="K121" s="9">
        <v>10.739000000000001</v>
      </c>
      <c r="L121" s="9">
        <v>20.649000000000001</v>
      </c>
      <c r="M121" s="9">
        <v>23.047271185670699</v>
      </c>
      <c r="N121" s="9">
        <v>27.750106849568699</v>
      </c>
    </row>
    <row r="122" spans="1:14" x14ac:dyDescent="0.3">
      <c r="A122" s="8" t="s">
        <v>14</v>
      </c>
      <c r="B122" s="4"/>
      <c r="C122" s="4"/>
      <c r="D122" s="4"/>
      <c r="E122" s="9"/>
      <c r="F122" s="9"/>
      <c r="G122" s="9"/>
      <c r="H122" s="9"/>
      <c r="I122" s="9"/>
      <c r="J122" s="9"/>
      <c r="K122" s="9"/>
      <c r="L122" s="9"/>
      <c r="M122" s="9"/>
      <c r="N122" s="9"/>
    </row>
    <row r="123" spans="1:14" x14ac:dyDescent="0.3">
      <c r="A123" s="8" t="s">
        <v>167</v>
      </c>
      <c r="B123" s="4" t="s">
        <v>22</v>
      </c>
      <c r="C123" s="4" t="s">
        <v>23</v>
      </c>
      <c r="D123" s="4"/>
      <c r="E123" s="9" t="s">
        <v>467</v>
      </c>
      <c r="F123" s="9" t="s">
        <v>467</v>
      </c>
      <c r="G123" s="9" t="s">
        <v>467</v>
      </c>
      <c r="H123" s="9" t="s">
        <v>467</v>
      </c>
      <c r="I123" s="9">
        <v>-114.078</v>
      </c>
      <c r="J123" s="9">
        <v>-76.974999999999994</v>
      </c>
      <c r="K123" s="9">
        <v>1.27</v>
      </c>
      <c r="L123" s="9">
        <v>113.55200000000001</v>
      </c>
      <c r="M123" s="9">
        <v>235.88235294117646</v>
      </c>
      <c r="N123" s="9">
        <v>306</v>
      </c>
    </row>
    <row r="124" spans="1:14" x14ac:dyDescent="0.3">
      <c r="A124" s="8" t="s">
        <v>24</v>
      </c>
      <c r="B124" s="4" t="s">
        <v>25</v>
      </c>
      <c r="C124" s="4" t="s">
        <v>26</v>
      </c>
      <c r="D124" s="4"/>
      <c r="E124" s="9" t="s">
        <v>467</v>
      </c>
      <c r="F124" s="9" t="s">
        <v>467</v>
      </c>
      <c r="G124" s="9">
        <v>-183.21361531723187</v>
      </c>
      <c r="H124" s="9">
        <v>-70.885736579900367</v>
      </c>
      <c r="I124" s="9">
        <v>-26.542623352671331</v>
      </c>
      <c r="J124" s="9">
        <v>-11.796121340290707</v>
      </c>
      <c r="K124" s="9">
        <v>0.13548328594974315</v>
      </c>
      <c r="L124" s="9">
        <v>9.0899848622997617</v>
      </c>
      <c r="M124" s="9">
        <v>14.941851736526363</v>
      </c>
      <c r="N124" s="9">
        <v>15.962708365351414</v>
      </c>
    </row>
    <row r="125" spans="1:14" x14ac:dyDescent="0.3">
      <c r="A125" s="8" t="s">
        <v>14</v>
      </c>
      <c r="B125" s="4"/>
      <c r="C125" s="4"/>
      <c r="D125" s="4"/>
      <c r="E125" s="9"/>
      <c r="F125" s="9"/>
      <c r="G125" s="9"/>
      <c r="H125" s="9"/>
      <c r="I125" s="9"/>
      <c r="J125" s="9"/>
      <c r="K125" s="9"/>
      <c r="L125" s="9"/>
      <c r="M125" s="9"/>
      <c r="N125" s="9"/>
    </row>
    <row r="126" spans="1:14" x14ac:dyDescent="0.3">
      <c r="A126" s="8" t="s">
        <v>168</v>
      </c>
      <c r="B126" s="4" t="s">
        <v>169</v>
      </c>
      <c r="C126" s="4" t="s">
        <v>170</v>
      </c>
      <c r="D126" s="4"/>
      <c r="E126" s="9" t="s">
        <v>467</v>
      </c>
      <c r="F126" s="9" t="s">
        <v>467</v>
      </c>
      <c r="G126" s="9" t="s">
        <v>467</v>
      </c>
      <c r="H126" s="9" t="s">
        <v>467</v>
      </c>
      <c r="I126" s="9">
        <v>-103.69</v>
      </c>
      <c r="J126" s="9">
        <v>-65.206999999999994</v>
      </c>
      <c r="K126" s="9">
        <v>16.795999999999999</v>
      </c>
      <c r="L126" s="9">
        <v>118.35599999999999</v>
      </c>
      <c r="M126" s="9">
        <v>259.33333333333337</v>
      </c>
      <c r="N126" s="9">
        <v>332.5555555555556</v>
      </c>
    </row>
    <row r="127" spans="1:14" x14ac:dyDescent="0.3">
      <c r="A127" s="8" t="s">
        <v>14</v>
      </c>
      <c r="B127" s="4"/>
      <c r="C127" s="4"/>
      <c r="D127" s="4"/>
      <c r="E127" s="9"/>
      <c r="F127" s="9"/>
      <c r="G127" s="9"/>
      <c r="H127" s="9"/>
      <c r="I127" s="9"/>
      <c r="J127" s="9"/>
      <c r="K127" s="9"/>
      <c r="L127" s="9"/>
      <c r="M127" s="9"/>
      <c r="N127" s="9"/>
    </row>
    <row r="128" spans="1:14" x14ac:dyDescent="0.3">
      <c r="A128" s="8" t="s">
        <v>171</v>
      </c>
      <c r="B128" s="4" t="s">
        <v>172</v>
      </c>
      <c r="C128" s="4" t="s">
        <v>173</v>
      </c>
      <c r="D128" s="4"/>
      <c r="E128" s="9" t="s">
        <v>467</v>
      </c>
      <c r="F128" s="9" t="s">
        <v>467</v>
      </c>
      <c r="G128" s="9">
        <v>-2.9340000000000002</v>
      </c>
      <c r="H128" s="9">
        <v>0.64200000000000002</v>
      </c>
      <c r="I128" s="9">
        <v>2E-3</v>
      </c>
      <c r="J128" s="9">
        <v>-15.62</v>
      </c>
      <c r="K128" s="9">
        <v>-39.963999999999999</v>
      </c>
      <c r="L128" s="9">
        <v>-39.558999999999997</v>
      </c>
      <c r="M128" s="9">
        <v>-45.256057115900646</v>
      </c>
      <c r="N128" s="9">
        <v>-44.783984265721983</v>
      </c>
    </row>
    <row r="129" spans="1:14" x14ac:dyDescent="0.3">
      <c r="A129" s="8" t="s">
        <v>174</v>
      </c>
      <c r="B129" s="4" t="s">
        <v>175</v>
      </c>
      <c r="C129" s="4" t="s">
        <v>176</v>
      </c>
      <c r="D129" s="4"/>
      <c r="E129" s="9" t="s">
        <v>467</v>
      </c>
      <c r="F129" s="9" t="s">
        <v>467</v>
      </c>
      <c r="G129" s="9">
        <v>-216.67500000000001</v>
      </c>
      <c r="H129" s="9">
        <v>-177.78899999999999</v>
      </c>
      <c r="I129" s="9">
        <v>-114.08</v>
      </c>
      <c r="J129" s="9">
        <v>-61.354999999999997</v>
      </c>
      <c r="K129" s="9">
        <v>41.234000000000002</v>
      </c>
      <c r="L129" s="9">
        <v>153.11099999999999</v>
      </c>
      <c r="M129" s="9">
        <v>280.50947425330196</v>
      </c>
      <c r="N129" s="9">
        <v>346.57933446714588</v>
      </c>
    </row>
    <row r="130" spans="1:14" x14ac:dyDescent="0.3">
      <c r="A130" s="8" t="s">
        <v>177</v>
      </c>
      <c r="B130" s="4" t="s">
        <v>178</v>
      </c>
      <c r="C130" s="4" t="s">
        <v>179</v>
      </c>
      <c r="D130" s="4"/>
      <c r="E130" s="9" t="s">
        <v>467</v>
      </c>
      <c r="F130" s="9" t="s">
        <v>467</v>
      </c>
      <c r="G130" s="9">
        <v>0.34</v>
      </c>
      <c r="H130" s="9">
        <v>8.6999999999999994E-2</v>
      </c>
      <c r="I130" s="9">
        <v>1.1739999999999999</v>
      </c>
      <c r="J130" s="9">
        <v>3.5870000000000002</v>
      </c>
      <c r="K130" s="9">
        <v>3.343</v>
      </c>
      <c r="L130" s="9">
        <v>4.4930000000000003</v>
      </c>
      <c r="M130" s="9">
        <v>6.5235374692642063</v>
      </c>
      <c r="N130" s="9">
        <v>10.924398723808357</v>
      </c>
    </row>
    <row r="131" spans="1:14" x14ac:dyDescent="0.3">
      <c r="A131" s="8" t="s">
        <v>14</v>
      </c>
      <c r="B131" s="4"/>
      <c r="C131" s="4"/>
      <c r="D131" s="4"/>
      <c r="E131" s="9"/>
      <c r="F131" s="9"/>
      <c r="G131" s="9"/>
      <c r="H131" s="9"/>
      <c r="I131" s="9"/>
      <c r="J131" s="9"/>
      <c r="K131" s="9"/>
      <c r="L131" s="9"/>
      <c r="M131" s="9"/>
      <c r="N131" s="9"/>
    </row>
    <row r="132" spans="1:14" x14ac:dyDescent="0.3">
      <c r="A132" s="8" t="s">
        <v>180</v>
      </c>
      <c r="B132" s="4" t="s">
        <v>181</v>
      </c>
      <c r="C132" s="4" t="s">
        <v>182</v>
      </c>
      <c r="D132" s="4"/>
      <c r="E132" s="9" t="s">
        <v>467</v>
      </c>
      <c r="F132" s="9" t="s">
        <v>467</v>
      </c>
      <c r="G132" s="9">
        <v>0.34</v>
      </c>
      <c r="H132" s="9">
        <v>8.6999999999999994E-2</v>
      </c>
      <c r="I132" s="9">
        <v>1.1739999999999999</v>
      </c>
      <c r="J132" s="9">
        <v>3.5870000000000002</v>
      </c>
      <c r="K132" s="9">
        <v>3.343</v>
      </c>
      <c r="L132" s="9">
        <v>4.4930000000000003</v>
      </c>
      <c r="M132" s="9">
        <v>8.4538672078821087</v>
      </c>
      <c r="N132" s="9">
        <v>18.216614230800221</v>
      </c>
    </row>
    <row r="133" spans="1:14" x14ac:dyDescent="0.3">
      <c r="A133" s="8" t="s">
        <v>14</v>
      </c>
      <c r="B133" s="4"/>
      <c r="C133" s="4"/>
      <c r="D133" s="4"/>
      <c r="E133" s="9"/>
      <c r="F133" s="9"/>
      <c r="G133" s="9"/>
      <c r="H133" s="9"/>
      <c r="I133" s="9"/>
      <c r="J133" s="9"/>
      <c r="K133" s="9"/>
      <c r="L133" s="9"/>
      <c r="M133" s="9"/>
      <c r="N133" s="9"/>
    </row>
    <row r="134" spans="1:14" x14ac:dyDescent="0.3">
      <c r="A134" s="8" t="s">
        <v>183</v>
      </c>
      <c r="B134" s="4" t="s">
        <v>184</v>
      </c>
      <c r="C134" s="4" t="s">
        <v>185</v>
      </c>
      <c r="D134" s="4"/>
      <c r="E134" s="9" t="s">
        <v>467</v>
      </c>
      <c r="F134" s="9" t="s">
        <v>467</v>
      </c>
      <c r="G134" s="9">
        <v>-225.22399999999999</v>
      </c>
      <c r="H134" s="9">
        <v>-210.208</v>
      </c>
      <c r="I134" s="9">
        <v>-355.024</v>
      </c>
      <c r="J134" s="9">
        <v>-247.422</v>
      </c>
      <c r="K134" s="9">
        <v>-286.726</v>
      </c>
      <c r="L134" s="9">
        <v>-154.90700000000001</v>
      </c>
      <c r="M134" s="9">
        <v>-64.734824745889028</v>
      </c>
      <c r="N134" s="9">
        <v>-0.92458726159091931</v>
      </c>
    </row>
    <row r="135" spans="1:14" x14ac:dyDescent="0.3">
      <c r="A135" s="8" t="s">
        <v>186</v>
      </c>
      <c r="B135" s="4" t="s">
        <v>187</v>
      </c>
      <c r="C135" s="4" t="s">
        <v>188</v>
      </c>
      <c r="D135" s="4"/>
      <c r="E135" s="9" t="s">
        <v>467</v>
      </c>
      <c r="F135" s="9" t="s">
        <v>467</v>
      </c>
      <c r="G135" s="9" t="s">
        <v>467</v>
      </c>
      <c r="H135" s="9" t="s">
        <v>467</v>
      </c>
      <c r="I135" s="9">
        <v>-355.024</v>
      </c>
      <c r="J135" s="9">
        <v>-64.941999999999993</v>
      </c>
      <c r="K135" s="9">
        <v>37.890999999999998</v>
      </c>
      <c r="L135" s="9">
        <v>148.61799999999999</v>
      </c>
      <c r="M135" s="9">
        <v>272.61111111111109</v>
      </c>
      <c r="N135" s="9">
        <v>336.88888888888891</v>
      </c>
    </row>
    <row r="136" spans="1:14" x14ac:dyDescent="0.3">
      <c r="A136" s="8" t="s">
        <v>14</v>
      </c>
      <c r="B136" s="4"/>
      <c r="C136" s="4"/>
      <c r="D136" s="4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8" t="s">
        <v>189</v>
      </c>
      <c r="B137" s="4" t="s">
        <v>190</v>
      </c>
      <c r="C137" s="4" t="s">
        <v>191</v>
      </c>
      <c r="D137" s="4"/>
      <c r="E137" s="9" t="s">
        <v>467</v>
      </c>
      <c r="F137" s="9" t="s">
        <v>467</v>
      </c>
      <c r="G137" s="9">
        <v>230.426896</v>
      </c>
      <c r="H137" s="9">
        <v>239.28169600000001</v>
      </c>
      <c r="I137" s="9">
        <v>277.54347100000001</v>
      </c>
      <c r="J137" s="9">
        <v>514.27922999999998</v>
      </c>
      <c r="K137" s="9">
        <v>534.87850100000003</v>
      </c>
      <c r="L137" s="9">
        <v>556.31744000000003</v>
      </c>
      <c r="M137" s="9">
        <v>574.91847112684013</v>
      </c>
      <c r="N137" s="9">
        <v>585.73495903312937</v>
      </c>
    </row>
    <row r="138" spans="1:14" x14ac:dyDescent="0.3">
      <c r="A138" s="8" t="s">
        <v>14</v>
      </c>
      <c r="B138" s="4"/>
      <c r="C138" s="4"/>
      <c r="D138" s="4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x14ac:dyDescent="0.3">
      <c r="A139" s="8" t="s">
        <v>192</v>
      </c>
      <c r="B139" s="4" t="s">
        <v>193</v>
      </c>
      <c r="C139" s="4" t="s">
        <v>194</v>
      </c>
      <c r="D139" s="4"/>
      <c r="E139" s="9" t="s">
        <v>467</v>
      </c>
      <c r="F139" s="9" t="s">
        <v>467</v>
      </c>
      <c r="G139" s="9">
        <v>230.426896</v>
      </c>
      <c r="H139" s="9">
        <v>239.28169600000001</v>
      </c>
      <c r="I139" s="9">
        <v>277.54347100000001</v>
      </c>
      <c r="J139" s="9">
        <v>514.27922999999998</v>
      </c>
      <c r="K139" s="9">
        <v>534.87850100000003</v>
      </c>
      <c r="L139" s="9">
        <v>556.31744000000003</v>
      </c>
      <c r="M139" s="9">
        <v>583.84367603115766</v>
      </c>
      <c r="N139" s="9">
        <v>593.57415927361558</v>
      </c>
    </row>
    <row r="140" spans="1:14" x14ac:dyDescent="0.3">
      <c r="A140" s="8" t="s">
        <v>195</v>
      </c>
      <c r="B140" s="4" t="s">
        <v>9</v>
      </c>
      <c r="C140" s="4" t="s">
        <v>10</v>
      </c>
      <c r="D140" s="4"/>
      <c r="E140" s="9" t="s">
        <v>467</v>
      </c>
      <c r="F140" s="9" t="s">
        <v>467</v>
      </c>
      <c r="G140" s="9" t="s">
        <v>467</v>
      </c>
      <c r="H140" s="9" t="s">
        <v>467</v>
      </c>
      <c r="I140" s="9">
        <v>-0.42</v>
      </c>
      <c r="J140" s="9">
        <v>-0.13</v>
      </c>
      <c r="K140" s="9">
        <v>7.0000000000000007E-2</v>
      </c>
      <c r="L140" s="9">
        <v>0.26</v>
      </c>
      <c r="M140" s="9">
        <v>0.46777777777777768</v>
      </c>
      <c r="N140" s="9">
        <v>0.56105263157894747</v>
      </c>
    </row>
    <row r="141" spans="1:14" x14ac:dyDescent="0.3">
      <c r="A141" s="8" t="s">
        <v>14</v>
      </c>
      <c r="B141" s="4"/>
      <c r="C141" s="4"/>
      <c r="D141" s="4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8" t="s">
        <v>196</v>
      </c>
      <c r="B142" s="4"/>
      <c r="C142" s="4"/>
      <c r="D142" s="4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8" t="s">
        <v>197</v>
      </c>
      <c r="B143" s="4" t="s">
        <v>198</v>
      </c>
      <c r="C143" s="4" t="s">
        <v>199</v>
      </c>
      <c r="D143" s="4"/>
      <c r="E143" s="9" t="s">
        <v>467</v>
      </c>
      <c r="F143" s="9" t="s">
        <v>467</v>
      </c>
      <c r="G143" s="9">
        <v>48.322000000000003</v>
      </c>
      <c r="H143" s="9">
        <v>75.393000000000001</v>
      </c>
      <c r="I143" s="9">
        <v>124.48399999999999</v>
      </c>
      <c r="J143" s="9">
        <v>182.65600000000001</v>
      </c>
      <c r="K143" s="9">
        <v>247.03200000000001</v>
      </c>
      <c r="L143" s="9">
        <v>298.32100000000003</v>
      </c>
      <c r="M143" s="9">
        <v>348.24561162820459</v>
      </c>
      <c r="N143" s="9">
        <v>437.44355275499851</v>
      </c>
    </row>
    <row r="144" spans="1:14" x14ac:dyDescent="0.3">
      <c r="A144" s="8" t="s">
        <v>200</v>
      </c>
      <c r="B144" s="4" t="s">
        <v>201</v>
      </c>
      <c r="C144" s="4" t="s">
        <v>202</v>
      </c>
      <c r="D144" s="4"/>
      <c r="E144" s="9" t="s">
        <v>467</v>
      </c>
      <c r="F144" s="9" t="s">
        <v>467</v>
      </c>
      <c r="G144" s="9">
        <v>71.543000000000006</v>
      </c>
      <c r="H144" s="9">
        <v>174.512</v>
      </c>
      <c r="I144" s="9">
        <v>303.86099999999999</v>
      </c>
      <c r="J144" s="9">
        <v>469.88900000000001</v>
      </c>
      <c r="K144" s="9">
        <v>690.35299999999995</v>
      </c>
      <c r="L144" s="9">
        <v>950.87800000000004</v>
      </c>
      <c r="M144" s="9">
        <v>1144.1209074627448</v>
      </c>
      <c r="N144" s="9">
        <v>1467.0751131577949</v>
      </c>
    </row>
    <row r="145" spans="1:14" x14ac:dyDescent="0.3">
      <c r="A145" s="8" t="s">
        <v>151</v>
      </c>
      <c r="B145" s="4" t="s">
        <v>203</v>
      </c>
      <c r="C145" s="4" t="s">
        <v>204</v>
      </c>
      <c r="D145" s="4"/>
      <c r="E145" s="9" t="s">
        <v>467</v>
      </c>
      <c r="F145" s="9" t="s">
        <v>467</v>
      </c>
      <c r="G145" s="9">
        <v>59.686313769657531</v>
      </c>
      <c r="H145" s="9">
        <v>69.831335907644899</v>
      </c>
      <c r="I145" s="9">
        <v>70.938379110296609</v>
      </c>
      <c r="J145" s="9">
        <v>72.00867373131355</v>
      </c>
      <c r="K145" s="9">
        <v>73.646687326978778</v>
      </c>
      <c r="L145" s="9">
        <v>76.119017066135982</v>
      </c>
      <c r="M145" s="9">
        <v>76.593236316032687</v>
      </c>
      <c r="N145" s="9">
        <v>76.830224233974661</v>
      </c>
    </row>
    <row r="146" spans="1:14" x14ac:dyDescent="0.3">
      <c r="A146" s="8" t="s">
        <v>205</v>
      </c>
      <c r="B146" s="4" t="s">
        <v>206</v>
      </c>
      <c r="C146" s="4" t="s">
        <v>207</v>
      </c>
      <c r="D146" s="4"/>
      <c r="E146" s="9" t="s">
        <v>467</v>
      </c>
      <c r="F146" s="9" t="s">
        <v>467</v>
      </c>
      <c r="G146" s="9">
        <v>299.36099999999999</v>
      </c>
      <c r="H146" s="9">
        <v>383.99099999999999</v>
      </c>
      <c r="I146" s="9">
        <v>657.70899999999995</v>
      </c>
      <c r="J146" s="9">
        <v>729.34400000000005</v>
      </c>
      <c r="K146" s="9">
        <v>1013.7</v>
      </c>
      <c r="L146" s="9">
        <v>1140.8510000000001</v>
      </c>
      <c r="M146" s="9">
        <v>1224.1541077319791</v>
      </c>
      <c r="N146" s="9">
        <v>1554.3548411550491</v>
      </c>
    </row>
    <row r="147" spans="1:14" x14ac:dyDescent="0.3">
      <c r="A147" s="8" t="s">
        <v>208</v>
      </c>
      <c r="B147" s="4" t="s">
        <v>209</v>
      </c>
      <c r="C147" s="4" t="s">
        <v>210</v>
      </c>
      <c r="D147" s="4"/>
      <c r="E147" s="9" t="s">
        <v>467</v>
      </c>
      <c r="F147" s="9" t="s">
        <v>467</v>
      </c>
      <c r="G147" s="9">
        <v>70.465999999999994</v>
      </c>
      <c r="H147" s="9">
        <v>99.738</v>
      </c>
      <c r="I147" s="9">
        <v>205.125</v>
      </c>
      <c r="J147" s="9">
        <v>187.405</v>
      </c>
      <c r="K147" s="9">
        <v>258.58100000000002</v>
      </c>
      <c r="L147" s="9">
        <v>299.71600000000001</v>
      </c>
      <c r="M147" s="9">
        <v>325.91207152735859</v>
      </c>
      <c r="N147" s="9">
        <v>400.36687575512474</v>
      </c>
    </row>
    <row r="148" spans="1:14" x14ac:dyDescent="0.3">
      <c r="A148" s="8" t="s">
        <v>211</v>
      </c>
      <c r="B148" s="4" t="s">
        <v>212</v>
      </c>
      <c r="C148" s="4" t="s">
        <v>213</v>
      </c>
      <c r="D148" s="4"/>
      <c r="E148" s="9" t="s">
        <v>467</v>
      </c>
      <c r="F148" s="9" t="s">
        <v>467</v>
      </c>
      <c r="G148" s="9">
        <v>181.55600000000001</v>
      </c>
      <c r="H148" s="9">
        <v>202.262</v>
      </c>
      <c r="I148" s="9">
        <v>291.209</v>
      </c>
      <c r="J148" s="9">
        <v>370.09800000000001</v>
      </c>
      <c r="K148" s="9">
        <v>486.649</v>
      </c>
      <c r="L148" s="9">
        <v>601.64800000000002</v>
      </c>
      <c r="M148" s="9">
        <v>656.32704949617323</v>
      </c>
      <c r="N148" s="9">
        <v>809.09476482124114</v>
      </c>
    </row>
    <row r="149" spans="1:14" x14ac:dyDescent="0.3">
      <c r="A149" s="8" t="s">
        <v>214</v>
      </c>
      <c r="B149" s="4" t="s">
        <v>215</v>
      </c>
      <c r="C149" s="4" t="s">
        <v>216</v>
      </c>
      <c r="D149" s="4"/>
      <c r="E149" s="9" t="s">
        <v>467</v>
      </c>
      <c r="F149" s="9" t="s">
        <v>467</v>
      </c>
      <c r="G149" s="9">
        <v>47.338999999999999</v>
      </c>
      <c r="H149" s="9">
        <v>75.222999999999999</v>
      </c>
      <c r="I149" s="9">
        <v>159.84299999999999</v>
      </c>
      <c r="J149" s="9">
        <v>170.785</v>
      </c>
      <c r="K149" s="9">
        <v>195.04300000000001</v>
      </c>
      <c r="L149" s="9">
        <v>234.60900000000001</v>
      </c>
      <c r="M149" s="9">
        <v>261.56134554578529</v>
      </c>
      <c r="N149" s="9">
        <v>314.30921428679585</v>
      </c>
    </row>
    <row r="150" spans="1:14" x14ac:dyDescent="0.3">
      <c r="A150" s="8" t="s">
        <v>217</v>
      </c>
      <c r="B150" s="4" t="s">
        <v>218</v>
      </c>
      <c r="C150" s="4" t="s">
        <v>219</v>
      </c>
      <c r="D150" s="4"/>
      <c r="E150" s="9" t="s">
        <v>467</v>
      </c>
      <c r="F150" s="9" t="s">
        <v>467</v>
      </c>
      <c r="G150" s="9">
        <v>-227.81800000000001</v>
      </c>
      <c r="H150" s="9">
        <v>-209.47900000000001</v>
      </c>
      <c r="I150" s="9">
        <v>-353.84800000000001</v>
      </c>
      <c r="J150" s="9">
        <v>-259.45499999999998</v>
      </c>
      <c r="K150" s="9">
        <v>-323.34699999999998</v>
      </c>
      <c r="L150" s="9">
        <v>-189.97300000000001</v>
      </c>
      <c r="M150" s="9">
        <v>-110.07320493978143</v>
      </c>
      <c r="N150" s="9">
        <v>-55.416634717577821</v>
      </c>
    </row>
    <row r="151" spans="1:14" x14ac:dyDescent="0.3">
      <c r="A151" s="8" t="s">
        <v>220</v>
      </c>
      <c r="B151" s="4" t="s">
        <v>221</v>
      </c>
      <c r="C151" s="4" t="s">
        <v>222</v>
      </c>
      <c r="D151" s="4"/>
      <c r="E151" s="9" t="s">
        <v>467</v>
      </c>
      <c r="F151" s="9" t="s">
        <v>467</v>
      </c>
      <c r="G151" s="9">
        <v>-190.06215325574604</v>
      </c>
      <c r="H151" s="9">
        <v>-83.823452912106603</v>
      </c>
      <c r="I151" s="9">
        <v>-82.608177987369984</v>
      </c>
      <c r="J151" s="9">
        <v>-39.760476288991562</v>
      </c>
      <c r="K151" s="9">
        <v>-34.494578001568193</v>
      </c>
      <c r="L151" s="9">
        <v>-15.207585020481124</v>
      </c>
      <c r="M151" s="9">
        <v>-7.1245501265995372</v>
      </c>
      <c r="N151" s="9">
        <v>-4.5511076915241135</v>
      </c>
    </row>
    <row r="152" spans="1:14" x14ac:dyDescent="0.3">
      <c r="A152" s="8" t="s">
        <v>223</v>
      </c>
      <c r="B152" s="4" t="s">
        <v>224</v>
      </c>
      <c r="C152" s="4" t="s">
        <v>225</v>
      </c>
      <c r="D152" s="4"/>
      <c r="E152" s="9" t="s">
        <v>467</v>
      </c>
      <c r="F152" s="9" t="s">
        <v>467</v>
      </c>
      <c r="G152" s="9" t="s">
        <v>467</v>
      </c>
      <c r="H152" s="9" t="s">
        <v>467</v>
      </c>
      <c r="I152" s="9">
        <v>-353.85</v>
      </c>
      <c r="J152" s="9">
        <v>-243.83500000000001</v>
      </c>
      <c r="K152" s="9">
        <v>-32.192999999999998</v>
      </c>
      <c r="L152" s="9">
        <v>-150.41399999999999</v>
      </c>
      <c r="M152" s="9">
        <v>-35.259999999999991</v>
      </c>
      <c r="N152" s="9">
        <v>105.51428571428572</v>
      </c>
    </row>
    <row r="153" spans="1:14" x14ac:dyDescent="0.3">
      <c r="A153" s="8" t="s">
        <v>226</v>
      </c>
      <c r="B153" s="4" t="s">
        <v>227</v>
      </c>
      <c r="C153" s="4" t="s">
        <v>228</v>
      </c>
      <c r="D153" s="4"/>
      <c r="E153" s="9" t="s">
        <v>467</v>
      </c>
      <c r="F153" s="9" t="s">
        <v>467</v>
      </c>
      <c r="G153" s="9" t="s">
        <v>467</v>
      </c>
      <c r="H153" s="9" t="s">
        <v>467</v>
      </c>
      <c r="I153" s="9">
        <v>-355.024</v>
      </c>
      <c r="J153" s="9">
        <v>-247.422</v>
      </c>
      <c r="K153" s="9">
        <v>-286.726</v>
      </c>
      <c r="L153" s="9">
        <v>-154.90700000000001</v>
      </c>
      <c r="M153" s="9">
        <v>-60.073333333333338</v>
      </c>
      <c r="N153" s="9">
        <v>-4.1133333333333324</v>
      </c>
    </row>
    <row r="154" spans="1:14" x14ac:dyDescent="0.3">
      <c r="A154" s="8" t="s">
        <v>229</v>
      </c>
      <c r="B154" s="4" t="s">
        <v>230</v>
      </c>
      <c r="C154" s="4" t="s">
        <v>231</v>
      </c>
      <c r="D154" s="4"/>
      <c r="E154" s="9" t="s">
        <v>467</v>
      </c>
      <c r="F154" s="9" t="s">
        <v>467</v>
      </c>
      <c r="G154" s="9">
        <v>-181.04951403662452</v>
      </c>
      <c r="H154" s="9">
        <v>-71.177447430023406</v>
      </c>
      <c r="I154" s="9">
        <v>-26.906815767663915</v>
      </c>
      <c r="J154" s="9">
        <v>-9.9521105824119402</v>
      </c>
      <c r="K154" s="9">
        <v>4.0422025101745813</v>
      </c>
      <c r="L154" s="9">
        <v>11.897063638379473</v>
      </c>
      <c r="M154" s="9">
        <v>17.240951307828755</v>
      </c>
      <c r="N154" s="9">
        <v>17.471122823781457</v>
      </c>
    </row>
    <row r="155" spans="1:14" x14ac:dyDescent="0.3">
      <c r="A155" s="8" t="s">
        <v>232</v>
      </c>
      <c r="B155" s="4" t="s">
        <v>233</v>
      </c>
      <c r="C155" s="4" t="s">
        <v>234</v>
      </c>
      <c r="D155" s="4"/>
      <c r="E155" s="9" t="s">
        <v>467</v>
      </c>
      <c r="F155" s="9" t="s">
        <v>467</v>
      </c>
      <c r="G155" s="9" t="s">
        <v>467</v>
      </c>
      <c r="H155" s="9" t="s">
        <v>467</v>
      </c>
      <c r="I155" s="9">
        <v>-1.28</v>
      </c>
      <c r="J155" s="9">
        <v>-0.48</v>
      </c>
      <c r="K155" s="9">
        <v>-0.54</v>
      </c>
      <c r="L155" s="9">
        <v>-0.28000000000000003</v>
      </c>
      <c r="M155" s="9">
        <v>-9.9846153846153862E-2</v>
      </c>
      <c r="N155" s="9">
        <v>3.2857142857142881E-3</v>
      </c>
    </row>
    <row r="156" spans="1:14" x14ac:dyDescent="0.3">
      <c r="A156" s="8" t="s">
        <v>14</v>
      </c>
      <c r="B156" s="4"/>
      <c r="C156" s="4"/>
      <c r="D156" s="4"/>
      <c r="E156" s="9"/>
      <c r="F156" s="9"/>
      <c r="G156" s="9"/>
      <c r="H156" s="9"/>
      <c r="I156" s="9"/>
      <c r="J156" s="9"/>
      <c r="K156" s="9"/>
      <c r="L156" s="9"/>
      <c r="M156" s="9"/>
      <c r="N156" s="9"/>
    </row>
    <row r="157" spans="1:14" x14ac:dyDescent="0.3">
      <c r="A157" s="8" t="s">
        <v>235</v>
      </c>
      <c r="B157" s="4"/>
      <c r="C157" s="4"/>
      <c r="D157" s="4"/>
      <c r="E157" s="9"/>
      <c r="F157" s="9"/>
      <c r="G157" s="9"/>
      <c r="H157" s="9"/>
      <c r="I157" s="9"/>
      <c r="J157" s="9"/>
      <c r="K157" s="9"/>
      <c r="L157" s="9"/>
      <c r="M157" s="9"/>
      <c r="N157" s="9"/>
    </row>
    <row r="158" spans="1:14" x14ac:dyDescent="0.3">
      <c r="A158" s="8" t="s">
        <v>236</v>
      </c>
      <c r="B158" s="4" t="s">
        <v>237</v>
      </c>
      <c r="C158" s="4" t="s">
        <v>238</v>
      </c>
      <c r="D158" s="4"/>
      <c r="E158" s="9" t="s">
        <v>467</v>
      </c>
      <c r="F158" s="9" t="s">
        <v>467</v>
      </c>
      <c r="G158" s="9" t="s">
        <v>467</v>
      </c>
      <c r="H158" s="9">
        <v>25.564</v>
      </c>
      <c r="I158" s="9">
        <v>238.238</v>
      </c>
      <c r="J158" s="9">
        <v>181.42400000000001</v>
      </c>
      <c r="K158" s="9">
        <v>251.19</v>
      </c>
      <c r="L158" s="9">
        <v>298.64699999999999</v>
      </c>
      <c r="M158" s="9">
        <v>350.23981507399617</v>
      </c>
      <c r="N158" s="9">
        <v>390.56168431252752</v>
      </c>
    </row>
    <row r="159" spans="1:14" x14ac:dyDescent="0.3">
      <c r="A159" s="8" t="s">
        <v>239</v>
      </c>
      <c r="B159" s="4" t="s">
        <v>240</v>
      </c>
      <c r="C159" s="4" t="s">
        <v>241</v>
      </c>
      <c r="D159" s="4"/>
      <c r="E159" s="9" t="s">
        <v>467</v>
      </c>
      <c r="F159" s="9" t="s">
        <v>467</v>
      </c>
      <c r="G159" s="9">
        <v>2.3926917782505321</v>
      </c>
      <c r="H159" s="9">
        <v>10.229487205137952</v>
      </c>
      <c r="I159" s="9">
        <v>55.618251642951357</v>
      </c>
      <c r="J159" s="9">
        <v>27.197051544337935</v>
      </c>
      <c r="K159" s="9">
        <v>25.291849133493709</v>
      </c>
      <c r="L159" s="9">
        <v>22.243853861554484</v>
      </c>
      <c r="M159" s="9">
        <v>22.430541836735394</v>
      </c>
      <c r="N159" s="9">
        <v>21.027532116112692</v>
      </c>
    </row>
    <row r="160" spans="1:14" x14ac:dyDescent="0.3">
      <c r="A160" s="8" t="s">
        <v>242</v>
      </c>
      <c r="B160" s="4" t="s">
        <v>243</v>
      </c>
      <c r="C160" s="4" t="s">
        <v>244</v>
      </c>
      <c r="D160" s="4"/>
      <c r="E160" s="9" t="s">
        <v>467</v>
      </c>
      <c r="F160" s="9" t="s">
        <v>467</v>
      </c>
      <c r="G160" s="9">
        <v>6.0000000000000001E-3</v>
      </c>
      <c r="H160" s="9">
        <v>1.2999999999999999E-2</v>
      </c>
      <c r="I160" s="9">
        <v>6.3440000000000003</v>
      </c>
      <c r="J160" s="9">
        <v>9.1820000000000004</v>
      </c>
      <c r="K160" s="9">
        <v>11.957000000000001</v>
      </c>
      <c r="L160" s="9">
        <v>12.125</v>
      </c>
      <c r="M160" s="9">
        <v>18.291485776068289</v>
      </c>
      <c r="N160" s="9">
        <v>19.332761244805639</v>
      </c>
    </row>
    <row r="161" spans="1:14" x14ac:dyDescent="0.3">
      <c r="A161" s="8" t="s">
        <v>245</v>
      </c>
      <c r="B161" s="4" t="s">
        <v>246</v>
      </c>
      <c r="C161" s="4" t="s">
        <v>247</v>
      </c>
      <c r="D161" s="4"/>
      <c r="E161" s="9" t="s">
        <v>467</v>
      </c>
      <c r="F161" s="9" t="s">
        <v>467</v>
      </c>
      <c r="G161" s="9">
        <v>0.81799999999999995</v>
      </c>
      <c r="H161" s="9">
        <v>13.782999999999999</v>
      </c>
      <c r="I161" s="9">
        <v>102.849</v>
      </c>
      <c r="J161" s="9">
        <v>62.738</v>
      </c>
      <c r="K161" s="9">
        <v>89.753</v>
      </c>
      <c r="L161" s="9">
        <v>100.246</v>
      </c>
      <c r="M161" s="9">
        <v>120.20814096530205</v>
      </c>
      <c r="N161" s="9">
        <v>143.70878707109512</v>
      </c>
    </row>
    <row r="162" spans="1:14" x14ac:dyDescent="0.3">
      <c r="A162" s="8" t="s">
        <v>248</v>
      </c>
      <c r="B162" s="4" t="s">
        <v>249</v>
      </c>
      <c r="C162" s="4" t="s">
        <v>250</v>
      </c>
      <c r="D162" s="4"/>
      <c r="E162" s="9" t="s">
        <v>467</v>
      </c>
      <c r="F162" s="9" t="s">
        <v>467</v>
      </c>
      <c r="G162" s="9">
        <v>1.0640000000000001</v>
      </c>
      <c r="H162" s="9">
        <v>6.9470000000000001</v>
      </c>
      <c r="I162" s="9">
        <v>62.548000000000002</v>
      </c>
      <c r="J162" s="9">
        <v>53.08</v>
      </c>
      <c r="K162" s="9">
        <v>70.731999999999999</v>
      </c>
      <c r="L162" s="9">
        <v>84.406999999999996</v>
      </c>
      <c r="M162" s="9">
        <v>99.178277003734365</v>
      </c>
      <c r="N162" s="9">
        <v>120.69158857628909</v>
      </c>
    </row>
    <row r="163" spans="1:14" x14ac:dyDescent="0.3">
      <c r="A163" s="8" t="s">
        <v>251</v>
      </c>
      <c r="B163" s="4" t="s">
        <v>252</v>
      </c>
      <c r="C163" s="4" t="s">
        <v>253</v>
      </c>
      <c r="D163" s="4"/>
      <c r="E163" s="9" t="s">
        <v>467</v>
      </c>
      <c r="F163" s="9" t="s">
        <v>467</v>
      </c>
      <c r="G163" s="9">
        <v>0.98</v>
      </c>
      <c r="H163" s="9">
        <v>4.8209999999999997</v>
      </c>
      <c r="I163" s="9">
        <v>66.497</v>
      </c>
      <c r="J163" s="9">
        <v>52.472999999999999</v>
      </c>
      <c r="K163" s="9">
        <v>64.64</v>
      </c>
      <c r="L163" s="9">
        <v>81.091999999999999</v>
      </c>
      <c r="M163" s="9">
        <v>95.908713552884137</v>
      </c>
      <c r="N163" s="9">
        <v>113.59850166338336</v>
      </c>
    </row>
    <row r="164" spans="1:14" x14ac:dyDescent="0.3">
      <c r="A164" s="8" t="s">
        <v>254</v>
      </c>
      <c r="B164" s="4"/>
      <c r="C164" s="4"/>
      <c r="D164" s="4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8" t="s">
        <v>255</v>
      </c>
      <c r="B165" s="4" t="s">
        <v>256</v>
      </c>
      <c r="C165" s="4" t="s">
        <v>257</v>
      </c>
      <c r="D165" s="4"/>
      <c r="E165" s="9" t="s">
        <v>467</v>
      </c>
      <c r="F165" s="9" t="s">
        <v>467</v>
      </c>
      <c r="G165" s="9" t="s">
        <v>467</v>
      </c>
      <c r="H165" s="9">
        <v>6.7679999999999998</v>
      </c>
      <c r="I165" s="9">
        <v>1.532</v>
      </c>
      <c r="J165" s="9">
        <v>1.056</v>
      </c>
      <c r="K165" s="9">
        <v>4.7619999999999996</v>
      </c>
      <c r="L165" s="9">
        <v>4.0279999999999996</v>
      </c>
      <c r="M165" s="9">
        <v>0.79869873625000021</v>
      </c>
      <c r="N165" s="9">
        <v>4.79379395167875</v>
      </c>
    </row>
    <row r="166" spans="1:14" x14ac:dyDescent="0.3">
      <c r="A166" s="8" t="s">
        <v>14</v>
      </c>
      <c r="B166" s="4"/>
      <c r="C166" s="4"/>
      <c r="D166" s="4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8" t="s">
        <v>258</v>
      </c>
      <c r="B167" s="4"/>
      <c r="C167" s="4"/>
      <c r="D167" s="4"/>
      <c r="E167" s="9"/>
      <c r="F167" s="9"/>
      <c r="G167" s="9"/>
      <c r="H167" s="9"/>
      <c r="I167" s="9"/>
      <c r="J167" s="9"/>
      <c r="K167" s="9"/>
      <c r="L167" s="9"/>
      <c r="M167" s="9"/>
      <c r="N167" s="9"/>
    </row>
    <row r="168" spans="1:14" x14ac:dyDescent="0.3">
      <c r="A168" s="8" t="s">
        <v>259</v>
      </c>
      <c r="B168" s="4"/>
      <c r="C168" s="4"/>
      <c r="D168" s="4"/>
      <c r="E168" s="9"/>
      <c r="F168" s="9"/>
      <c r="G168" s="9"/>
      <c r="H168" s="9"/>
      <c r="I168" s="9"/>
      <c r="J168" s="9"/>
      <c r="K168" s="9"/>
      <c r="L168" s="9"/>
      <c r="M168" s="9"/>
      <c r="N168" s="9"/>
    </row>
    <row r="169" spans="1:14" x14ac:dyDescent="0.3">
      <c r="A169" s="8" t="s">
        <v>260</v>
      </c>
      <c r="B169" s="4" t="s">
        <v>261</v>
      </c>
      <c r="C169" s="4" t="s">
        <v>262</v>
      </c>
      <c r="D169" s="4"/>
      <c r="E169" s="9" t="s">
        <v>467</v>
      </c>
      <c r="F169" s="9" t="s">
        <v>467</v>
      </c>
      <c r="G169" s="9">
        <v>277.47899999999998</v>
      </c>
      <c r="H169" s="9">
        <v>491.18900000000002</v>
      </c>
      <c r="I169" s="9">
        <v>1100.1669999999999</v>
      </c>
      <c r="J169" s="9">
        <v>957.53499999999997</v>
      </c>
      <c r="K169" s="9">
        <v>886.95799999999997</v>
      </c>
      <c r="L169" s="9">
        <v>1145.154</v>
      </c>
      <c r="M169" s="9">
        <v>1358.9316083143858</v>
      </c>
      <c r="N169" s="9">
        <v>1761.5221495573221</v>
      </c>
    </row>
    <row r="170" spans="1:14" x14ac:dyDescent="0.3">
      <c r="A170" s="8" t="s">
        <v>263</v>
      </c>
      <c r="B170" s="4" t="s">
        <v>264</v>
      </c>
      <c r="C170" s="4" t="s">
        <v>265</v>
      </c>
      <c r="D170" s="4"/>
      <c r="E170" s="9" t="s">
        <v>467</v>
      </c>
      <c r="F170" s="9" t="s">
        <v>467</v>
      </c>
      <c r="G170" s="9">
        <v>201.06899999999999</v>
      </c>
      <c r="H170" s="9">
        <v>399.887</v>
      </c>
      <c r="I170" s="9">
        <v>921.21799999999996</v>
      </c>
      <c r="J170" s="9">
        <v>200.67</v>
      </c>
      <c r="K170" s="9">
        <v>135.536</v>
      </c>
      <c r="L170" s="9">
        <v>227.57599999999999</v>
      </c>
      <c r="M170" s="9">
        <v>342.97253722624885</v>
      </c>
      <c r="N170" s="9">
        <v>561.3942288006125</v>
      </c>
    </row>
    <row r="171" spans="1:14" x14ac:dyDescent="0.3">
      <c r="A171" s="8" t="s">
        <v>266</v>
      </c>
      <c r="B171" s="4" t="s">
        <v>267</v>
      </c>
      <c r="C171" s="4" t="s">
        <v>268</v>
      </c>
      <c r="D171" s="4"/>
      <c r="E171" s="9" t="s">
        <v>467</v>
      </c>
      <c r="F171" s="9" t="s">
        <v>467</v>
      </c>
      <c r="G171" s="9" t="s">
        <v>467</v>
      </c>
      <c r="H171" s="9" t="s">
        <v>467</v>
      </c>
      <c r="I171" s="9" t="s">
        <v>467</v>
      </c>
      <c r="J171" s="9">
        <v>489.19200000000001</v>
      </c>
      <c r="K171" s="9">
        <v>412.12599999999998</v>
      </c>
      <c r="L171" s="9">
        <v>467.22199999999998</v>
      </c>
      <c r="M171" s="9">
        <v>447.73211111111112</v>
      </c>
      <c r="N171" s="9">
        <v>456.62099999999998</v>
      </c>
    </row>
    <row r="172" spans="1:14" x14ac:dyDescent="0.3">
      <c r="A172" s="8" t="s">
        <v>269</v>
      </c>
      <c r="B172" s="4" t="s">
        <v>270</v>
      </c>
      <c r="C172" s="4" t="s">
        <v>271</v>
      </c>
      <c r="D172" s="4"/>
      <c r="E172" s="9" t="s">
        <v>467</v>
      </c>
      <c r="F172" s="9" t="s">
        <v>467</v>
      </c>
      <c r="G172" s="9">
        <v>34.213000000000001</v>
      </c>
      <c r="H172" s="9">
        <v>42.247999999999998</v>
      </c>
      <c r="I172" s="9">
        <v>81.986999999999995</v>
      </c>
      <c r="J172" s="9">
        <v>122.867</v>
      </c>
      <c r="K172" s="9">
        <v>161.82900000000001</v>
      </c>
      <c r="L172" s="9">
        <v>234.01599999999999</v>
      </c>
      <c r="M172" s="9">
        <v>309.53148962967663</v>
      </c>
      <c r="N172" s="9">
        <v>417.21835666344413</v>
      </c>
    </row>
    <row r="173" spans="1:14" x14ac:dyDescent="0.3">
      <c r="A173" s="8" t="s">
        <v>272</v>
      </c>
      <c r="B173" s="4" t="s">
        <v>273</v>
      </c>
      <c r="C173" s="4" t="s">
        <v>274</v>
      </c>
      <c r="D173" s="4"/>
      <c r="E173" s="9" t="s">
        <v>467</v>
      </c>
      <c r="F173" s="9" t="s">
        <v>467</v>
      </c>
      <c r="G173" s="9">
        <v>16.515999999999998</v>
      </c>
      <c r="H173" s="9">
        <v>13.673999999999999</v>
      </c>
      <c r="I173" s="9">
        <v>33.067</v>
      </c>
      <c r="J173" s="9">
        <v>40.570999999999998</v>
      </c>
      <c r="K173" s="9">
        <v>22.238</v>
      </c>
      <c r="L173" s="9">
        <v>38.911000000000001</v>
      </c>
      <c r="M173" s="9">
        <v>51.293312335820666</v>
      </c>
      <c r="N173" s="9">
        <v>66.111959669940973</v>
      </c>
    </row>
    <row r="174" spans="1:14" x14ac:dyDescent="0.3">
      <c r="A174" s="8" t="s">
        <v>275</v>
      </c>
      <c r="B174" s="4" t="s">
        <v>276</v>
      </c>
      <c r="C174" s="4" t="s">
        <v>277</v>
      </c>
      <c r="D174" s="4"/>
      <c r="E174" s="9" t="s">
        <v>467</v>
      </c>
      <c r="F174" s="9" t="s">
        <v>467</v>
      </c>
      <c r="G174" s="9">
        <v>14.736000000000001</v>
      </c>
      <c r="H174" s="9">
        <v>26.059000000000001</v>
      </c>
      <c r="I174" s="9">
        <v>52.518999999999998</v>
      </c>
      <c r="J174" s="9">
        <v>82.046000000000006</v>
      </c>
      <c r="K174" s="9">
        <v>104.008</v>
      </c>
      <c r="L174" s="9">
        <v>119.32299999999999</v>
      </c>
      <c r="M174" s="9">
        <v>135.11281465057272</v>
      </c>
      <c r="N174" s="9">
        <v>163.26156459248688</v>
      </c>
    </row>
    <row r="175" spans="1:14" x14ac:dyDescent="0.3">
      <c r="A175" s="8" t="s">
        <v>278</v>
      </c>
      <c r="B175" s="4" t="s">
        <v>279</v>
      </c>
      <c r="C175" s="4" t="s">
        <v>280</v>
      </c>
      <c r="D175" s="4"/>
      <c r="E175" s="9" t="s">
        <v>467</v>
      </c>
      <c r="F175" s="9" t="s">
        <v>467</v>
      </c>
      <c r="G175" s="9" t="s">
        <v>467</v>
      </c>
      <c r="H175" s="9" t="s">
        <v>467</v>
      </c>
      <c r="I175" s="9" t="s">
        <v>467</v>
      </c>
      <c r="J175" s="9" t="s">
        <v>467</v>
      </c>
      <c r="K175" s="9" t="s">
        <v>467</v>
      </c>
      <c r="L175" s="9">
        <v>58.106000000000002</v>
      </c>
      <c r="M175" s="9">
        <v>69.991149109906289</v>
      </c>
      <c r="N175" s="9">
        <v>85.522412967736784</v>
      </c>
    </row>
    <row r="176" spans="1:14" x14ac:dyDescent="0.3">
      <c r="A176" s="8" t="s">
        <v>281</v>
      </c>
      <c r="B176" s="4" t="s">
        <v>282</v>
      </c>
      <c r="C176" s="4" t="s">
        <v>283</v>
      </c>
      <c r="D176" s="4"/>
      <c r="E176" s="9" t="s">
        <v>467</v>
      </c>
      <c r="F176" s="9" t="s">
        <v>467</v>
      </c>
      <c r="G176" s="9">
        <v>353.53100000000001</v>
      </c>
      <c r="H176" s="9">
        <v>395.44400000000002</v>
      </c>
      <c r="I176" s="9">
        <v>467.762</v>
      </c>
      <c r="J176" s="9">
        <v>659.47299999999996</v>
      </c>
      <c r="K176" s="9">
        <v>847.88699999999994</v>
      </c>
      <c r="L176" s="9">
        <v>879.14800000000002</v>
      </c>
      <c r="M176" s="9">
        <v>1053.5639961952972</v>
      </c>
      <c r="N176" s="9">
        <v>1130.3302032976389</v>
      </c>
    </row>
    <row r="177" spans="1:14" x14ac:dyDescent="0.3">
      <c r="A177" s="8" t="s">
        <v>284</v>
      </c>
      <c r="B177" s="4" t="s">
        <v>285</v>
      </c>
      <c r="C177" s="4" t="s">
        <v>286</v>
      </c>
      <c r="D177" s="4"/>
      <c r="E177" s="9" t="s">
        <v>467</v>
      </c>
      <c r="F177" s="9" t="s">
        <v>467</v>
      </c>
      <c r="G177" s="9">
        <v>42.677</v>
      </c>
      <c r="H177" s="9">
        <v>57.655000000000001</v>
      </c>
      <c r="I177" s="9">
        <v>36.771999999999998</v>
      </c>
      <c r="J177" s="9">
        <v>59.277999999999999</v>
      </c>
      <c r="K177" s="9">
        <v>54.969000000000001</v>
      </c>
      <c r="L177" s="9">
        <v>58.151000000000003</v>
      </c>
      <c r="M177" s="9">
        <v>71.458566988118122</v>
      </c>
      <c r="N177" s="9">
        <v>77.216681350733694</v>
      </c>
    </row>
    <row r="178" spans="1:14" x14ac:dyDescent="0.3">
      <c r="A178" s="8" t="s">
        <v>287</v>
      </c>
      <c r="B178" s="4" t="s">
        <v>288</v>
      </c>
      <c r="C178" s="4" t="s">
        <v>289</v>
      </c>
      <c r="D178" s="4"/>
      <c r="E178" s="9" t="s">
        <v>467</v>
      </c>
      <c r="F178" s="9" t="s">
        <v>467</v>
      </c>
      <c r="G178" s="9">
        <v>159.55000000000001</v>
      </c>
      <c r="H178" s="9">
        <v>133.12100000000001</v>
      </c>
      <c r="I178" s="9">
        <v>134.42699999999999</v>
      </c>
      <c r="J178" s="9">
        <v>112.624</v>
      </c>
      <c r="K178" s="9">
        <v>81.974000000000004</v>
      </c>
      <c r="L178" s="9">
        <v>64.864000000000004</v>
      </c>
      <c r="M178" s="9">
        <v>67.664203464359815</v>
      </c>
      <c r="N178" s="9">
        <v>68.531578935241441</v>
      </c>
    </row>
    <row r="179" spans="1:14" x14ac:dyDescent="0.3">
      <c r="A179" s="8" t="s">
        <v>290</v>
      </c>
      <c r="B179" s="4" t="s">
        <v>291</v>
      </c>
      <c r="C179" s="4" t="s">
        <v>292</v>
      </c>
      <c r="D179" s="4"/>
      <c r="E179" s="9" t="s">
        <v>467</v>
      </c>
      <c r="F179" s="9" t="s">
        <v>467</v>
      </c>
      <c r="G179" s="9">
        <v>65.61</v>
      </c>
      <c r="H179" s="9">
        <v>86.936999999999998</v>
      </c>
      <c r="I179" s="9">
        <v>117.75700000000001</v>
      </c>
      <c r="J179" s="9">
        <v>140.166</v>
      </c>
      <c r="K179" s="9">
        <v>177.56200000000001</v>
      </c>
      <c r="L179" s="9">
        <v>209.34100000000001</v>
      </c>
      <c r="M179" s="9">
        <v>243.09860734131973</v>
      </c>
      <c r="N179" s="9">
        <v>279.22899348528728</v>
      </c>
    </row>
    <row r="180" spans="1:14" x14ac:dyDescent="0.3">
      <c r="A180" s="8" t="s">
        <v>293</v>
      </c>
      <c r="B180" s="4" t="s">
        <v>294</v>
      </c>
      <c r="C180" s="4" t="s">
        <v>295</v>
      </c>
      <c r="D180" s="4"/>
      <c r="E180" s="9" t="s">
        <v>467</v>
      </c>
      <c r="F180" s="9" t="s">
        <v>467</v>
      </c>
      <c r="G180" s="9">
        <v>35.237000000000002</v>
      </c>
      <c r="H180" s="9">
        <v>34.421999999999997</v>
      </c>
      <c r="I180" s="9">
        <v>23.091999999999999</v>
      </c>
      <c r="J180" s="9">
        <v>23.096</v>
      </c>
      <c r="K180" s="9">
        <v>19.202000000000002</v>
      </c>
      <c r="L180" s="9">
        <v>18.218</v>
      </c>
      <c r="M180" s="9">
        <v>23.029599999999999</v>
      </c>
      <c r="N180" s="9">
        <v>23.029599999999999</v>
      </c>
    </row>
    <row r="181" spans="1:14" x14ac:dyDescent="0.3">
      <c r="A181" s="8" t="s">
        <v>275</v>
      </c>
      <c r="B181" s="4" t="s">
        <v>296</v>
      </c>
      <c r="C181" s="4" t="s">
        <v>297</v>
      </c>
      <c r="D181" s="4"/>
      <c r="E181" s="9" t="s">
        <v>467</v>
      </c>
      <c r="F181" s="9" t="s">
        <v>467</v>
      </c>
      <c r="G181" s="9">
        <v>48.597000000000001</v>
      </c>
      <c r="H181" s="9">
        <v>81.459000000000003</v>
      </c>
      <c r="I181" s="9">
        <v>141.292</v>
      </c>
      <c r="J181" s="9">
        <v>194.852</v>
      </c>
      <c r="K181" s="9">
        <v>230.78200000000001</v>
      </c>
      <c r="L181" s="9">
        <v>242.928</v>
      </c>
      <c r="M181" s="9">
        <v>280.66802144205542</v>
      </c>
      <c r="N181" s="9">
        <v>323.27618810753728</v>
      </c>
    </row>
    <row r="182" spans="1:14" x14ac:dyDescent="0.3">
      <c r="A182" s="8" t="s">
        <v>298</v>
      </c>
      <c r="B182" s="4" t="s">
        <v>299</v>
      </c>
      <c r="C182" s="4" t="s">
        <v>300</v>
      </c>
      <c r="D182" s="4"/>
      <c r="E182" s="9" t="s">
        <v>467</v>
      </c>
      <c r="F182" s="9" t="s">
        <v>467</v>
      </c>
      <c r="G182" s="9">
        <v>1.86</v>
      </c>
      <c r="H182" s="9">
        <v>1.85</v>
      </c>
      <c r="I182" s="9">
        <v>14.422000000000001</v>
      </c>
      <c r="J182" s="9">
        <v>16.356000000000002</v>
      </c>
      <c r="K182" s="9">
        <v>7.2320000000000002</v>
      </c>
      <c r="L182" s="9">
        <v>2.9940000000000002</v>
      </c>
      <c r="M182" s="9">
        <v>4.6458483819157577</v>
      </c>
      <c r="N182" s="9">
        <v>9.5940180728233795</v>
      </c>
    </row>
    <row r="183" spans="1:14" x14ac:dyDescent="0.3">
      <c r="A183" s="8" t="s">
        <v>301</v>
      </c>
      <c r="B183" s="4" t="s">
        <v>302</v>
      </c>
      <c r="C183" s="4" t="s">
        <v>303</v>
      </c>
      <c r="D183" s="4"/>
      <c r="E183" s="9" t="s">
        <v>467</v>
      </c>
      <c r="F183" s="9" t="s">
        <v>467</v>
      </c>
      <c r="G183" s="9">
        <v>631.01</v>
      </c>
      <c r="H183" s="9">
        <v>886.63300000000004</v>
      </c>
      <c r="I183" s="9">
        <v>1567.9290000000001</v>
      </c>
      <c r="J183" s="9">
        <v>1617.008</v>
      </c>
      <c r="K183" s="9">
        <v>1734.845</v>
      </c>
      <c r="L183" s="9">
        <v>2024.3019999999999</v>
      </c>
      <c r="M183" s="9">
        <v>2434.8668697156168</v>
      </c>
      <c r="N183" s="9">
        <v>2929.1744260477794</v>
      </c>
    </row>
    <row r="184" spans="1:14" x14ac:dyDescent="0.3">
      <c r="A184" s="8" t="s">
        <v>14</v>
      </c>
      <c r="B184" s="4"/>
      <c r="C184" s="4"/>
      <c r="D184" s="4"/>
      <c r="E184" s="9"/>
      <c r="F184" s="9"/>
      <c r="G184" s="9"/>
      <c r="H184" s="9"/>
      <c r="I184" s="9"/>
      <c r="J184" s="9"/>
      <c r="K184" s="9"/>
      <c r="L184" s="9"/>
      <c r="M184" s="9"/>
      <c r="N184" s="9"/>
    </row>
    <row r="185" spans="1:14" x14ac:dyDescent="0.3">
      <c r="A185" s="8" t="s">
        <v>304</v>
      </c>
      <c r="B185" s="4"/>
      <c r="C185" s="4"/>
      <c r="D185" s="4"/>
      <c r="E185" s="9"/>
      <c r="F185" s="9"/>
      <c r="G185" s="9"/>
      <c r="H185" s="9"/>
      <c r="I185" s="9"/>
      <c r="J185" s="9"/>
      <c r="K185" s="9"/>
      <c r="L185" s="9"/>
      <c r="M185" s="9"/>
      <c r="N185" s="9"/>
    </row>
    <row r="186" spans="1:14" x14ac:dyDescent="0.3">
      <c r="A186" s="8" t="s">
        <v>305</v>
      </c>
      <c r="B186" s="4" t="s">
        <v>306</v>
      </c>
      <c r="C186" s="4" t="s">
        <v>307</v>
      </c>
      <c r="D186" s="4"/>
      <c r="E186" s="9" t="s">
        <v>467</v>
      </c>
      <c r="F186" s="9" t="s">
        <v>467</v>
      </c>
      <c r="G186" s="9">
        <v>148.251</v>
      </c>
      <c r="H186" s="9">
        <v>211.94200000000001</v>
      </c>
      <c r="I186" s="9">
        <v>338.279</v>
      </c>
      <c r="J186" s="9">
        <v>442.15800000000002</v>
      </c>
      <c r="K186" s="9">
        <v>591.81600000000003</v>
      </c>
      <c r="L186" s="9">
        <v>761.346</v>
      </c>
      <c r="M186" s="9">
        <v>861.42073215039943</v>
      </c>
      <c r="N186" s="9">
        <v>1053.9210240961509</v>
      </c>
    </row>
    <row r="187" spans="1:14" x14ac:dyDescent="0.3">
      <c r="A187" s="8" t="s">
        <v>308</v>
      </c>
      <c r="B187" s="4" t="s">
        <v>309</v>
      </c>
      <c r="C187" s="4" t="s">
        <v>310</v>
      </c>
      <c r="D187" s="4"/>
      <c r="E187" s="9" t="s">
        <v>467</v>
      </c>
      <c r="F187" s="9" t="s">
        <v>467</v>
      </c>
      <c r="G187" s="9">
        <v>16.466999999999999</v>
      </c>
      <c r="H187" s="9">
        <v>19.399999999999999</v>
      </c>
      <c r="I187" s="9">
        <v>54.704999999999998</v>
      </c>
      <c r="J187" s="9">
        <v>30.143999999999998</v>
      </c>
      <c r="K187" s="9">
        <v>46.280999999999999</v>
      </c>
      <c r="L187" s="9">
        <v>64.016999999999996</v>
      </c>
      <c r="M187" s="9">
        <v>52.277725868046112</v>
      </c>
      <c r="N187" s="9">
        <v>64.333661997888584</v>
      </c>
    </row>
    <row r="188" spans="1:14" x14ac:dyDescent="0.3">
      <c r="A188" s="8" t="s">
        <v>311</v>
      </c>
      <c r="B188" s="4" t="s">
        <v>312</v>
      </c>
      <c r="C188" s="4" t="s">
        <v>313</v>
      </c>
      <c r="D188" s="4"/>
      <c r="E188" s="9" t="s">
        <v>467</v>
      </c>
      <c r="F188" s="9" t="s">
        <v>467</v>
      </c>
      <c r="G188" s="9">
        <v>11.9</v>
      </c>
      <c r="H188" s="9">
        <v>12.548999999999999</v>
      </c>
      <c r="I188" s="9">
        <v>27.106999999999999</v>
      </c>
      <c r="J188" s="9">
        <v>36.03</v>
      </c>
      <c r="K188" s="9">
        <v>37.067999999999998</v>
      </c>
      <c r="L188" s="9">
        <v>43.442999999999998</v>
      </c>
      <c r="M188" s="9">
        <v>50.290881400634007</v>
      </c>
      <c r="N188" s="9">
        <v>58.97043201838212</v>
      </c>
    </row>
    <row r="189" spans="1:14" x14ac:dyDescent="0.3">
      <c r="A189" s="8" t="s">
        <v>314</v>
      </c>
      <c r="B189" s="4" t="s">
        <v>315</v>
      </c>
      <c r="C189" s="4" t="s">
        <v>316</v>
      </c>
      <c r="D189" s="4"/>
      <c r="E189" s="9" t="s">
        <v>467</v>
      </c>
      <c r="F189" s="9" t="s">
        <v>467</v>
      </c>
      <c r="G189" s="9">
        <v>17.532</v>
      </c>
      <c r="H189" s="9">
        <v>22.312999999999999</v>
      </c>
      <c r="I189" s="9">
        <v>21.446999999999999</v>
      </c>
      <c r="J189" s="9">
        <v>22.047000000000001</v>
      </c>
      <c r="K189" s="9">
        <v>20.661000000000001</v>
      </c>
      <c r="L189" s="9">
        <v>15.656000000000001</v>
      </c>
      <c r="M189" s="9">
        <v>18.001176221890031</v>
      </c>
      <c r="N189" s="9">
        <v>18.235490324550263</v>
      </c>
    </row>
    <row r="190" spans="1:14" x14ac:dyDescent="0.3">
      <c r="A190" s="8" t="s">
        <v>317</v>
      </c>
      <c r="B190" s="4" t="s">
        <v>318</v>
      </c>
      <c r="C190" s="4" t="s">
        <v>319</v>
      </c>
      <c r="D190" s="4"/>
      <c r="E190" s="9" t="s">
        <v>467</v>
      </c>
      <c r="F190" s="9" t="s">
        <v>467</v>
      </c>
      <c r="G190" s="9">
        <v>94.391000000000005</v>
      </c>
      <c r="H190" s="9">
        <v>143.10900000000001</v>
      </c>
      <c r="I190" s="9">
        <v>203.185</v>
      </c>
      <c r="J190" s="9">
        <v>300.113</v>
      </c>
      <c r="K190" s="9">
        <v>426.36900000000003</v>
      </c>
      <c r="L190" s="9">
        <v>563.25400000000002</v>
      </c>
      <c r="M190" s="9">
        <v>640.7837472871505</v>
      </c>
      <c r="N190" s="9">
        <v>761.72274844321112</v>
      </c>
    </row>
    <row r="191" spans="1:14" x14ac:dyDescent="0.3">
      <c r="A191" s="8" t="s">
        <v>320</v>
      </c>
      <c r="B191" s="4" t="s">
        <v>321</v>
      </c>
      <c r="C191" s="4" t="s">
        <v>322</v>
      </c>
      <c r="D191" s="4"/>
      <c r="E191" s="9" t="s">
        <v>467</v>
      </c>
      <c r="F191" s="9" t="s">
        <v>467</v>
      </c>
      <c r="G191" s="9">
        <v>7.9610000000000003</v>
      </c>
      <c r="H191" s="9">
        <v>14.571</v>
      </c>
      <c r="I191" s="9">
        <v>31.835000000000001</v>
      </c>
      <c r="J191" s="9">
        <v>53.823999999999998</v>
      </c>
      <c r="K191" s="9">
        <v>61.436999999999998</v>
      </c>
      <c r="L191" s="9">
        <v>74.975999999999999</v>
      </c>
      <c r="M191" s="9">
        <v>101.71285375648699</v>
      </c>
      <c r="N191" s="9">
        <v>152.44382679616871</v>
      </c>
    </row>
    <row r="192" spans="1:14" x14ac:dyDescent="0.3">
      <c r="A192" s="8" t="s">
        <v>323</v>
      </c>
      <c r="B192" s="4" t="s">
        <v>324</v>
      </c>
      <c r="C192" s="4" t="s">
        <v>325</v>
      </c>
      <c r="D192" s="4"/>
      <c r="E192" s="9" t="s">
        <v>467</v>
      </c>
      <c r="F192" s="9" t="s">
        <v>467</v>
      </c>
      <c r="G192" s="9">
        <v>284.10399999999998</v>
      </c>
      <c r="H192" s="9">
        <v>258.42700000000002</v>
      </c>
      <c r="I192" s="9">
        <v>240.703</v>
      </c>
      <c r="J192" s="9">
        <v>236.83099999999999</v>
      </c>
      <c r="K192" s="9">
        <v>227.88200000000001</v>
      </c>
      <c r="L192" s="9">
        <v>193.76</v>
      </c>
      <c r="M192" s="9">
        <v>178.13301215741313</v>
      </c>
      <c r="N192" s="9">
        <v>128.08900643675645</v>
      </c>
    </row>
    <row r="193" spans="1:14" x14ac:dyDescent="0.3">
      <c r="A193" s="8" t="s">
        <v>314</v>
      </c>
      <c r="B193" s="4" t="s">
        <v>326</v>
      </c>
      <c r="C193" s="4" t="s">
        <v>327</v>
      </c>
      <c r="D193" s="4"/>
      <c r="E193" s="9" t="s">
        <v>467</v>
      </c>
      <c r="F193" s="9" t="s">
        <v>467</v>
      </c>
      <c r="G193" s="9">
        <v>166.78100000000001</v>
      </c>
      <c r="H193" s="9">
        <v>150.96100000000001</v>
      </c>
      <c r="I193" s="9">
        <v>123.51300000000001</v>
      </c>
      <c r="J193" s="9">
        <v>100.873</v>
      </c>
      <c r="K193" s="9">
        <v>78.83</v>
      </c>
      <c r="L193" s="9">
        <v>64.622</v>
      </c>
      <c r="M193" s="9">
        <v>65.43241680927224</v>
      </c>
      <c r="N193" s="9">
        <v>62.64326657134071</v>
      </c>
    </row>
    <row r="194" spans="1:14" x14ac:dyDescent="0.3">
      <c r="A194" s="8" t="s">
        <v>328</v>
      </c>
      <c r="B194" s="4" t="s">
        <v>329</v>
      </c>
      <c r="C194" s="4" t="s">
        <v>330</v>
      </c>
      <c r="D194" s="4"/>
      <c r="E194" s="9" t="s">
        <v>467</v>
      </c>
      <c r="F194" s="9" t="s">
        <v>467</v>
      </c>
      <c r="G194" s="9">
        <v>116.679</v>
      </c>
      <c r="H194" s="9">
        <v>106.46299999999999</v>
      </c>
      <c r="I194" s="9">
        <v>110.501</v>
      </c>
      <c r="J194" s="9">
        <v>126.452</v>
      </c>
      <c r="K194" s="9">
        <v>139.11699999999999</v>
      </c>
      <c r="L194" s="9">
        <v>122.51600000000001</v>
      </c>
      <c r="M194" s="9">
        <v>164.44609479397064</v>
      </c>
      <c r="N194" s="9">
        <v>187.036896733416</v>
      </c>
    </row>
    <row r="195" spans="1:14" x14ac:dyDescent="0.3">
      <c r="A195" s="8" t="s">
        <v>298</v>
      </c>
      <c r="B195" s="4" t="s">
        <v>331</v>
      </c>
      <c r="C195" s="4" t="s">
        <v>332</v>
      </c>
      <c r="D195" s="4"/>
      <c r="E195" s="9" t="s">
        <v>467</v>
      </c>
      <c r="F195" s="9" t="s">
        <v>467</v>
      </c>
      <c r="G195" s="9">
        <v>0.64400000000000002</v>
      </c>
      <c r="H195" s="9">
        <v>1.0029999999999999</v>
      </c>
      <c r="I195" s="9">
        <v>6.6890000000000001</v>
      </c>
      <c r="J195" s="9">
        <v>9.5060000000000002</v>
      </c>
      <c r="K195" s="9">
        <v>9.9350000000000005</v>
      </c>
      <c r="L195" s="9">
        <v>6.6219999999999999</v>
      </c>
      <c r="M195" s="9">
        <v>-3.7723994009876995</v>
      </c>
      <c r="N195" s="9">
        <v>-25.981682877935672</v>
      </c>
    </row>
    <row r="196" spans="1:14" x14ac:dyDescent="0.3">
      <c r="A196" s="8" t="s">
        <v>333</v>
      </c>
      <c r="B196" s="4" t="s">
        <v>334</v>
      </c>
      <c r="C196" s="4" t="s">
        <v>335</v>
      </c>
      <c r="D196" s="4"/>
      <c r="E196" s="9" t="s">
        <v>467</v>
      </c>
      <c r="F196" s="9" t="s">
        <v>467</v>
      </c>
      <c r="G196" s="9">
        <v>432.35500000000002</v>
      </c>
      <c r="H196" s="9">
        <v>470.36900000000003</v>
      </c>
      <c r="I196" s="9">
        <v>578.98199999999997</v>
      </c>
      <c r="J196" s="9">
        <v>678.98900000000003</v>
      </c>
      <c r="K196" s="9">
        <v>819.69799999999998</v>
      </c>
      <c r="L196" s="9">
        <v>955.10599999999999</v>
      </c>
      <c r="M196" s="9">
        <v>1087.5035339084109</v>
      </c>
      <c r="N196" s="9">
        <v>1277.7449029270822</v>
      </c>
    </row>
    <row r="197" spans="1:14" x14ac:dyDescent="0.3">
      <c r="A197" s="8" t="s">
        <v>336</v>
      </c>
      <c r="B197" s="4" t="s">
        <v>337</v>
      </c>
      <c r="C197" s="4" t="s">
        <v>338</v>
      </c>
      <c r="D197" s="4"/>
      <c r="E197" s="9" t="s">
        <v>467</v>
      </c>
      <c r="F197" s="9" t="s">
        <v>467</v>
      </c>
      <c r="G197" s="9">
        <v>198.655</v>
      </c>
      <c r="H197" s="9">
        <v>416.26400000000001</v>
      </c>
      <c r="I197" s="9">
        <v>988.947</v>
      </c>
      <c r="J197" s="9">
        <v>938.01900000000001</v>
      </c>
      <c r="K197" s="9">
        <v>915.14700000000005</v>
      </c>
      <c r="L197" s="9">
        <v>1069.1959999999999</v>
      </c>
      <c r="M197" s="9">
        <v>1346.6442071811437</v>
      </c>
      <c r="N197" s="9">
        <v>1650.7680124338983</v>
      </c>
    </row>
    <row r="198" spans="1:14" x14ac:dyDescent="0.3">
      <c r="A198" s="8" t="s">
        <v>339</v>
      </c>
      <c r="B198" s="4" t="s">
        <v>340</v>
      </c>
      <c r="C198" s="4" t="s">
        <v>341</v>
      </c>
      <c r="D198" s="4"/>
      <c r="E198" s="9" t="s">
        <v>467</v>
      </c>
      <c r="F198" s="9" t="s">
        <v>467</v>
      </c>
      <c r="G198" s="9" t="s">
        <v>467</v>
      </c>
      <c r="H198" s="9">
        <v>1E-3</v>
      </c>
      <c r="I198" s="9">
        <v>2.9000000000000001E-2</v>
      </c>
      <c r="J198" s="9">
        <v>0.03</v>
      </c>
      <c r="K198" s="9">
        <v>3.2000000000000001E-2</v>
      </c>
      <c r="L198" s="9">
        <v>3.5000000000000003E-2</v>
      </c>
      <c r="M198" s="9">
        <v>3.1E-2</v>
      </c>
      <c r="N198" s="9">
        <v>3.1E-2</v>
      </c>
    </row>
    <row r="199" spans="1:14" x14ac:dyDescent="0.3">
      <c r="A199" s="8" t="s">
        <v>342</v>
      </c>
      <c r="B199" s="4" t="s">
        <v>343</v>
      </c>
      <c r="C199" s="4" t="s">
        <v>344</v>
      </c>
      <c r="D199" s="4"/>
      <c r="E199" s="9" t="s">
        <v>467</v>
      </c>
      <c r="F199" s="9" t="s">
        <v>467</v>
      </c>
      <c r="G199" s="9">
        <v>4.7258787032000003</v>
      </c>
      <c r="H199" s="9">
        <v>42.692</v>
      </c>
      <c r="I199" s="9">
        <v>1909.9639999999999</v>
      </c>
      <c r="J199" s="9">
        <v>2107.0129999999999</v>
      </c>
      <c r="K199" s="9">
        <v>2368.5970000000002</v>
      </c>
      <c r="L199" s="9">
        <v>2680.0120000000002</v>
      </c>
      <c r="M199" s="9">
        <v>2976.093880100103</v>
      </c>
      <c r="N199" s="9">
        <v>3260.3041660836548</v>
      </c>
    </row>
    <row r="200" spans="1:14" x14ac:dyDescent="0.3">
      <c r="A200" s="8" t="s">
        <v>345</v>
      </c>
      <c r="B200" s="4" t="s">
        <v>346</v>
      </c>
      <c r="C200" s="4" t="s">
        <v>347</v>
      </c>
      <c r="D200" s="4"/>
      <c r="E200" s="9" t="s">
        <v>467</v>
      </c>
      <c r="F200" s="9" t="s">
        <v>467</v>
      </c>
      <c r="G200" s="9">
        <v>-346.09399999999999</v>
      </c>
      <c r="H200" s="9">
        <v>-565.92600000000004</v>
      </c>
      <c r="I200" s="9">
        <v>-920.95</v>
      </c>
      <c r="J200" s="9">
        <v>-1168.3720000000001</v>
      </c>
      <c r="K200" s="9">
        <v>-1455.098</v>
      </c>
      <c r="L200" s="9">
        <v>-1610.0050000000001</v>
      </c>
      <c r="M200" s="9">
        <v>-1628.3621561593359</v>
      </c>
      <c r="N200" s="9">
        <v>-1557.7335220572522</v>
      </c>
    </row>
    <row r="201" spans="1:14" x14ac:dyDescent="0.3">
      <c r="A201" s="8" t="s">
        <v>348</v>
      </c>
      <c r="B201" s="4" t="s">
        <v>349</v>
      </c>
      <c r="C201" s="4" t="s">
        <v>350</v>
      </c>
      <c r="D201" s="4"/>
      <c r="E201" s="9" t="s">
        <v>467</v>
      </c>
      <c r="F201" s="9" t="s">
        <v>467</v>
      </c>
      <c r="G201" s="9">
        <v>0</v>
      </c>
      <c r="H201" s="9">
        <v>0</v>
      </c>
      <c r="I201" s="9">
        <v>-9.6000000000000002E-2</v>
      </c>
      <c r="J201" s="9">
        <v>-0.65200000000000002</v>
      </c>
      <c r="K201" s="9">
        <v>1.6160000000000001</v>
      </c>
      <c r="L201" s="9">
        <v>-0.84599999999999997</v>
      </c>
      <c r="M201" s="9">
        <v>-20.317852411774261</v>
      </c>
      <c r="N201" s="9">
        <v>-41.666314509953494</v>
      </c>
    </row>
    <row r="202" spans="1:14" x14ac:dyDescent="0.3">
      <c r="A202" s="8" t="s">
        <v>351</v>
      </c>
      <c r="B202" s="4" t="s">
        <v>302</v>
      </c>
      <c r="C202" s="4" t="s">
        <v>303</v>
      </c>
      <c r="D202" s="4"/>
      <c r="E202" s="9" t="s">
        <v>467</v>
      </c>
      <c r="F202" s="9" t="s">
        <v>467</v>
      </c>
      <c r="G202" s="9">
        <v>631.01</v>
      </c>
      <c r="H202" s="9">
        <v>886.63300000000004</v>
      </c>
      <c r="I202" s="9">
        <v>1567.9290000000001</v>
      </c>
      <c r="J202" s="9">
        <v>1617.008</v>
      </c>
      <c r="K202" s="9">
        <v>1734.845</v>
      </c>
      <c r="L202" s="9">
        <v>2024.3019999999999</v>
      </c>
      <c r="M202" s="9">
        <v>2434.8668697156168</v>
      </c>
      <c r="N202" s="9">
        <v>2929.1744260477794</v>
      </c>
    </row>
    <row r="203" spans="1:14" x14ac:dyDescent="0.3">
      <c r="A203" s="8" t="s">
        <v>14</v>
      </c>
      <c r="B203" s="4"/>
      <c r="C203" s="4"/>
      <c r="D203" s="4"/>
      <c r="E203" s="9"/>
      <c r="F203" s="9"/>
      <c r="G203" s="9"/>
      <c r="H203" s="9"/>
      <c r="I203" s="9"/>
      <c r="J203" s="9"/>
      <c r="K203" s="9"/>
      <c r="L203" s="9"/>
      <c r="M203" s="9"/>
      <c r="N203" s="9"/>
    </row>
    <row r="204" spans="1:14" x14ac:dyDescent="0.3">
      <c r="A204" s="8" t="s">
        <v>352</v>
      </c>
      <c r="B204" s="4"/>
      <c r="C204" s="4"/>
      <c r="D204" s="4"/>
      <c r="E204" s="9"/>
      <c r="F204" s="9"/>
      <c r="G204" s="9"/>
      <c r="H204" s="9"/>
      <c r="I204" s="9"/>
      <c r="J204" s="9"/>
      <c r="K204" s="9"/>
      <c r="L204" s="9"/>
      <c r="M204" s="9"/>
      <c r="N204" s="9"/>
    </row>
    <row r="205" spans="1:14" x14ac:dyDescent="0.3">
      <c r="A205" s="8" t="s">
        <v>353</v>
      </c>
      <c r="B205" s="4" t="s">
        <v>91</v>
      </c>
      <c r="C205" s="4" t="s">
        <v>92</v>
      </c>
      <c r="D205" s="4"/>
      <c r="E205" s="9" t="s">
        <v>467</v>
      </c>
      <c r="F205" s="9" t="s">
        <v>467</v>
      </c>
      <c r="G205" s="9" t="s">
        <v>467</v>
      </c>
      <c r="H205" s="9">
        <v>249.572</v>
      </c>
      <c r="I205" s="9">
        <v>313.68599999999998</v>
      </c>
      <c r="J205" s="9">
        <v>426.565</v>
      </c>
      <c r="K205" s="9">
        <v>565.48599999999999</v>
      </c>
      <c r="L205" s="9">
        <v>685.77</v>
      </c>
      <c r="M205" s="9">
        <v>797.043869911868</v>
      </c>
      <c r="N205" s="9">
        <v>929.89181844513905</v>
      </c>
    </row>
    <row r="206" spans="1:14" x14ac:dyDescent="0.3">
      <c r="A206" s="8" t="s">
        <v>354</v>
      </c>
      <c r="B206" s="4" t="s">
        <v>355</v>
      </c>
      <c r="C206" s="4" t="s">
        <v>356</v>
      </c>
      <c r="D206" s="4"/>
      <c r="E206" s="9" t="s">
        <v>467</v>
      </c>
      <c r="F206" s="9" t="s">
        <v>467</v>
      </c>
      <c r="G206" s="9">
        <v>63.332999999999998</v>
      </c>
      <c r="H206" s="9">
        <v>107.518</v>
      </c>
      <c r="I206" s="9">
        <v>193.81100000000001</v>
      </c>
      <c r="J206" s="9">
        <v>276.89800000000002</v>
      </c>
      <c r="K206" s="9">
        <v>230.78200000000001</v>
      </c>
      <c r="L206" s="9">
        <v>362.25099999999998</v>
      </c>
      <c r="M206" s="9">
        <v>392.76130082149189</v>
      </c>
      <c r="N206" s="9">
        <v>427.03842714592935</v>
      </c>
    </row>
    <row r="207" spans="1:14" x14ac:dyDescent="0.3">
      <c r="A207" s="8" t="s">
        <v>357</v>
      </c>
      <c r="B207" s="4" t="s">
        <v>358</v>
      </c>
      <c r="C207" s="4" t="s">
        <v>359</v>
      </c>
      <c r="D207" s="4"/>
      <c r="E207" s="9" t="s">
        <v>467</v>
      </c>
      <c r="F207" s="9" t="s">
        <v>467</v>
      </c>
      <c r="G207" s="9" t="s">
        <v>467</v>
      </c>
      <c r="H207" s="9">
        <v>-27.701903543850566</v>
      </c>
      <c r="I207" s="9">
        <v>-28.927686487446643</v>
      </c>
      <c r="J207" s="9">
        <v>-15.537010622188131</v>
      </c>
      <c r="K207" s="9">
        <v>-17.10850684680981</v>
      </c>
      <c r="L207" s="9">
        <v>-8.2416037468074528</v>
      </c>
      <c r="M207" s="9">
        <v>-1.3758046734364344</v>
      </c>
      <c r="N207" s="9">
        <v>9.6929370465240279</v>
      </c>
    </row>
    <row r="208" spans="1:14" x14ac:dyDescent="0.3">
      <c r="A208" s="8" t="s">
        <v>360</v>
      </c>
      <c r="B208" s="4" t="s">
        <v>361</v>
      </c>
      <c r="C208" s="4" t="s">
        <v>362</v>
      </c>
      <c r="D208" s="4"/>
      <c r="E208" s="9" t="s">
        <v>467</v>
      </c>
      <c r="F208" s="9" t="s">
        <v>467</v>
      </c>
      <c r="G208" s="9" t="s">
        <v>467</v>
      </c>
      <c r="H208" s="9" t="s">
        <v>467</v>
      </c>
      <c r="I208" s="9" t="s">
        <v>467</v>
      </c>
      <c r="J208" s="9">
        <v>-25.679954913579174</v>
      </c>
      <c r="K208" s="9">
        <v>-30.944448581508617</v>
      </c>
      <c r="L208" s="9">
        <v>-15.612925789543441</v>
      </c>
      <c r="M208" s="9">
        <v>-22.5</v>
      </c>
      <c r="N208" s="9">
        <v>-19</v>
      </c>
    </row>
    <row r="209" spans="1:14" x14ac:dyDescent="0.3">
      <c r="A209" s="8" t="s">
        <v>363</v>
      </c>
      <c r="B209" s="4" t="s">
        <v>364</v>
      </c>
      <c r="C209" s="4" t="s">
        <v>365</v>
      </c>
      <c r="D209" s="4"/>
      <c r="E209" s="9" t="s">
        <v>467</v>
      </c>
      <c r="F209" s="9" t="s">
        <v>467</v>
      </c>
      <c r="G209" s="9">
        <v>-1.4151146301553739</v>
      </c>
      <c r="H209" s="9">
        <v>-2.127089042588211</v>
      </c>
      <c r="I209" s="9">
        <v>1.9564661565839225</v>
      </c>
      <c r="J209" s="9">
        <v>1.7895654494444846</v>
      </c>
      <c r="K209" s="9">
        <v>1.6761746703657494</v>
      </c>
      <c r="L209" s="9">
        <v>1.8899763810224597</v>
      </c>
      <c r="M209" s="9">
        <v>2.3656827790745756</v>
      </c>
      <c r="N209" s="9">
        <v>2.9223664412046175</v>
      </c>
    </row>
    <row r="210" spans="1:14" x14ac:dyDescent="0.3">
      <c r="A210" s="8" t="s">
        <v>14</v>
      </c>
      <c r="B210" s="4"/>
      <c r="C210" s="4"/>
      <c r="D210" s="4"/>
      <c r="E210" s="9"/>
      <c r="F210" s="9"/>
      <c r="G210" s="9"/>
      <c r="H210" s="9"/>
      <c r="I210" s="9"/>
      <c r="J210" s="9"/>
      <c r="K210" s="9"/>
      <c r="L210" s="9"/>
      <c r="M210" s="9"/>
      <c r="N210" s="9"/>
    </row>
    <row r="211" spans="1:14" x14ac:dyDescent="0.3">
      <c r="A211" s="8" t="s">
        <v>366</v>
      </c>
      <c r="B211" s="4"/>
      <c r="C211" s="4"/>
      <c r="D211" s="4"/>
      <c r="E211" s="9"/>
      <c r="F211" s="9"/>
      <c r="G211" s="9"/>
      <c r="H211" s="9"/>
      <c r="I211" s="9"/>
      <c r="J211" s="9"/>
      <c r="K211" s="9"/>
      <c r="L211" s="9"/>
      <c r="M211" s="9"/>
      <c r="N211" s="9"/>
    </row>
    <row r="212" spans="1:14" x14ac:dyDescent="0.3">
      <c r="A212" s="8" t="s">
        <v>367</v>
      </c>
      <c r="B212" s="4"/>
      <c r="C212" s="4"/>
      <c r="D212" s="4"/>
      <c r="E212" s="9"/>
      <c r="F212" s="9"/>
      <c r="G212" s="9"/>
      <c r="H212" s="9"/>
      <c r="I212" s="9"/>
      <c r="J212" s="9"/>
      <c r="K212" s="9"/>
      <c r="L212" s="9"/>
      <c r="M212" s="9"/>
      <c r="N212" s="9"/>
    </row>
    <row r="213" spans="1:14" x14ac:dyDescent="0.3">
      <c r="A213" s="8" t="s">
        <v>368</v>
      </c>
      <c r="B213" s="4" t="s">
        <v>369</v>
      </c>
      <c r="C213" s="4" t="s">
        <v>370</v>
      </c>
      <c r="D213" s="4"/>
      <c r="E213" s="9" t="s">
        <v>467</v>
      </c>
      <c r="F213" s="9" t="s">
        <v>467</v>
      </c>
      <c r="G213" s="9">
        <v>4.32</v>
      </c>
      <c r="H213" s="9">
        <v>10.738</v>
      </c>
      <c r="I213" s="9">
        <v>10.388</v>
      </c>
      <c r="J213" s="9">
        <v>11.768000000000001</v>
      </c>
      <c r="K213" s="9">
        <v>15.526</v>
      </c>
      <c r="L213" s="9">
        <v>20.649000000000001</v>
      </c>
      <c r="M213" s="9">
        <v>23.070348108747595</v>
      </c>
      <c r="N213" s="9">
        <v>27.719337618799447</v>
      </c>
    </row>
    <row r="214" spans="1:14" x14ac:dyDescent="0.3">
      <c r="A214" s="8" t="s">
        <v>236</v>
      </c>
      <c r="B214" s="4" t="s">
        <v>371</v>
      </c>
      <c r="C214" s="4" t="s">
        <v>372</v>
      </c>
      <c r="D214" s="4"/>
      <c r="E214" s="9" t="s">
        <v>467</v>
      </c>
      <c r="F214" s="9" t="s">
        <v>467</v>
      </c>
      <c r="G214" s="9">
        <v>2.8679999999999999</v>
      </c>
      <c r="H214" s="9">
        <v>25.564</v>
      </c>
      <c r="I214" s="9">
        <v>228.72300000000001</v>
      </c>
      <c r="J214" s="9">
        <v>177.47300000000001</v>
      </c>
      <c r="K214" s="9">
        <v>237.08199999999999</v>
      </c>
      <c r="L214" s="9">
        <v>277.87</v>
      </c>
      <c r="M214" s="9">
        <v>323.94550906569765</v>
      </c>
      <c r="N214" s="9">
        <v>396.8553703695099</v>
      </c>
    </row>
    <row r="215" spans="1:14" x14ac:dyDescent="0.3">
      <c r="A215" s="8" t="s">
        <v>373</v>
      </c>
      <c r="B215" s="4" t="s">
        <v>374</v>
      </c>
      <c r="C215" s="4" t="s">
        <v>375</v>
      </c>
      <c r="D215" s="4"/>
      <c r="E215" s="9" t="s">
        <v>467</v>
      </c>
      <c r="F215" s="9" t="s">
        <v>467</v>
      </c>
      <c r="G215" s="9">
        <v>11.385</v>
      </c>
      <c r="H215" s="9">
        <v>7.3390000000000004</v>
      </c>
      <c r="I215" s="9">
        <v>0.74</v>
      </c>
      <c r="J215" s="9">
        <v>3.1760000000000002</v>
      </c>
      <c r="K215" s="9">
        <v>1.111</v>
      </c>
      <c r="L215" s="9">
        <v>-10</v>
      </c>
      <c r="M215" s="9">
        <v>-7.3487499999999999</v>
      </c>
      <c r="N215" s="9">
        <v>-14.695</v>
      </c>
    </row>
    <row r="216" spans="1:14" x14ac:dyDescent="0.3">
      <c r="A216" s="8" t="s">
        <v>376</v>
      </c>
      <c r="B216" s="4" t="s">
        <v>377</v>
      </c>
      <c r="C216" s="4" t="s">
        <v>378</v>
      </c>
      <c r="D216" s="4"/>
      <c r="E216" s="9" t="s">
        <v>467</v>
      </c>
      <c r="F216" s="9" t="s">
        <v>467</v>
      </c>
      <c r="G216" s="9" t="s">
        <v>467</v>
      </c>
      <c r="H216" s="9" t="s">
        <v>467</v>
      </c>
      <c r="I216" s="9" t="s">
        <v>467</v>
      </c>
      <c r="J216" s="9" t="s">
        <v>467</v>
      </c>
      <c r="K216" s="9" t="s">
        <v>467</v>
      </c>
      <c r="L216" s="9" t="s">
        <v>467</v>
      </c>
      <c r="M216" s="9">
        <v>-65.635368589322908</v>
      </c>
      <c r="N216" s="9">
        <v>-77.748902976385551</v>
      </c>
    </row>
    <row r="217" spans="1:14" x14ac:dyDescent="0.3">
      <c r="A217" s="8" t="s">
        <v>269</v>
      </c>
      <c r="B217" s="4" t="s">
        <v>379</v>
      </c>
      <c r="C217" s="4" t="s">
        <v>380</v>
      </c>
      <c r="D217" s="4"/>
      <c r="E217" s="9" t="s">
        <v>467</v>
      </c>
      <c r="F217" s="9" t="s">
        <v>467</v>
      </c>
      <c r="G217" s="9">
        <v>-10.911</v>
      </c>
      <c r="H217" s="9">
        <v>-14.14</v>
      </c>
      <c r="I217" s="9">
        <v>-47.048999999999999</v>
      </c>
      <c r="J217" s="9">
        <v>-47.463999999999999</v>
      </c>
      <c r="K217" s="9">
        <v>-46.42</v>
      </c>
      <c r="L217" s="9">
        <v>-75.531000000000006</v>
      </c>
      <c r="M217" s="9">
        <v>-81.697270032372487</v>
      </c>
      <c r="N217" s="9">
        <v>-110.44732189271151</v>
      </c>
    </row>
    <row r="218" spans="1:14" x14ac:dyDescent="0.3">
      <c r="A218" s="8" t="s">
        <v>272</v>
      </c>
      <c r="B218" s="4" t="s">
        <v>381</v>
      </c>
      <c r="C218" s="4" t="s">
        <v>382</v>
      </c>
      <c r="D218" s="4"/>
      <c r="E218" s="9" t="s">
        <v>467</v>
      </c>
      <c r="F218" s="9" t="s">
        <v>467</v>
      </c>
      <c r="G218" s="9">
        <v>-7.62</v>
      </c>
      <c r="H218" s="9">
        <v>2.843</v>
      </c>
      <c r="I218" s="9">
        <v>-19.393000000000001</v>
      </c>
      <c r="J218" s="9">
        <v>-7.5039999999999996</v>
      </c>
      <c r="K218" s="9">
        <v>18.332000000000001</v>
      </c>
      <c r="L218" s="9">
        <v>-22.416</v>
      </c>
      <c r="M218" s="9">
        <v>-18.438564258705298</v>
      </c>
      <c r="N218" s="9">
        <v>-19.471498025508211</v>
      </c>
    </row>
    <row r="219" spans="1:14" x14ac:dyDescent="0.3">
      <c r="A219" s="8" t="s">
        <v>383</v>
      </c>
      <c r="B219" s="4" t="s">
        <v>384</v>
      </c>
      <c r="C219" s="4" t="s">
        <v>385</v>
      </c>
      <c r="D219" s="4"/>
      <c r="E219" s="9" t="s">
        <v>467</v>
      </c>
      <c r="F219" s="9" t="s">
        <v>467</v>
      </c>
      <c r="G219" s="9">
        <v>11.56</v>
      </c>
      <c r="H219" s="9" t="s">
        <v>467</v>
      </c>
      <c r="I219" s="9" t="s">
        <v>467</v>
      </c>
      <c r="J219" s="9" t="s">
        <v>467</v>
      </c>
      <c r="K219" s="9">
        <v>0</v>
      </c>
      <c r="L219" s="9">
        <v>0</v>
      </c>
      <c r="M219" s="9" t="s">
        <v>467</v>
      </c>
      <c r="N219" s="9" t="s">
        <v>467</v>
      </c>
    </row>
    <row r="220" spans="1:14" x14ac:dyDescent="0.3">
      <c r="A220" s="8" t="s">
        <v>328</v>
      </c>
      <c r="B220" s="4" t="s">
        <v>94</v>
      </c>
      <c r="C220" s="4" t="s">
        <v>95</v>
      </c>
      <c r="D220" s="4"/>
      <c r="E220" s="9" t="s">
        <v>467</v>
      </c>
      <c r="F220" s="9" t="s">
        <v>467</v>
      </c>
      <c r="G220" s="9">
        <v>95.421999999999997</v>
      </c>
      <c r="H220" s="9">
        <v>35.159999999999997</v>
      </c>
      <c r="I220" s="9">
        <v>64.001000000000005</v>
      </c>
      <c r="J220" s="9">
        <v>112.879</v>
      </c>
      <c r="K220" s="9">
        <v>138.91999999999999</v>
      </c>
      <c r="L220" s="9">
        <v>120.283</v>
      </c>
      <c r="M220" s="9">
        <v>114.3623646665833</v>
      </c>
      <c r="N220" s="9">
        <v>144.40398198878023</v>
      </c>
    </row>
    <row r="221" spans="1:14" x14ac:dyDescent="0.3">
      <c r="A221" s="8" t="s">
        <v>314</v>
      </c>
      <c r="B221" s="4" t="s">
        <v>386</v>
      </c>
      <c r="C221" s="4" t="s">
        <v>387</v>
      </c>
      <c r="D221" s="4"/>
      <c r="E221" s="9" t="s">
        <v>467</v>
      </c>
      <c r="F221" s="9" t="s">
        <v>467</v>
      </c>
      <c r="G221" s="9">
        <v>7.6360000000000001</v>
      </c>
      <c r="H221" s="9">
        <v>9.0150000000000006</v>
      </c>
      <c r="I221" s="9">
        <v>-0.34799999999999998</v>
      </c>
      <c r="J221" s="9">
        <v>-0.76200000000000001</v>
      </c>
      <c r="K221" s="9">
        <v>7.62</v>
      </c>
      <c r="L221" s="9">
        <v>0.114</v>
      </c>
      <c r="M221" s="9">
        <v>0.75623090129367954</v>
      </c>
      <c r="N221" s="9">
        <v>-4.8928805901140802</v>
      </c>
    </row>
    <row r="222" spans="1:14" x14ac:dyDescent="0.3">
      <c r="A222" s="8" t="s">
        <v>388</v>
      </c>
      <c r="B222" s="4" t="s">
        <v>389</v>
      </c>
      <c r="C222" s="4" t="s">
        <v>390</v>
      </c>
      <c r="D222" s="4"/>
      <c r="E222" s="9" t="s">
        <v>467</v>
      </c>
      <c r="F222" s="9" t="s">
        <v>467</v>
      </c>
      <c r="G222" s="9" t="s">
        <v>467</v>
      </c>
      <c r="H222" s="9" t="s">
        <v>467</v>
      </c>
      <c r="I222" s="9">
        <v>-1.4259999999999999</v>
      </c>
      <c r="J222" s="9">
        <v>-11.292999999999999</v>
      </c>
      <c r="K222" s="9">
        <v>-29.076000000000001</v>
      </c>
      <c r="L222" s="9">
        <v>-6.8849999999999998</v>
      </c>
      <c r="M222" s="9">
        <v>-12.075162011381847</v>
      </c>
      <c r="N222" s="9">
        <v>-17.990991550525386</v>
      </c>
    </row>
    <row r="223" spans="1:14" x14ac:dyDescent="0.3">
      <c r="A223" s="8" t="s">
        <v>328</v>
      </c>
      <c r="B223" s="4" t="s">
        <v>391</v>
      </c>
      <c r="C223" s="4" t="s">
        <v>392</v>
      </c>
      <c r="D223" s="4"/>
      <c r="E223" s="9" t="s">
        <v>467</v>
      </c>
      <c r="F223" s="9" t="s">
        <v>467</v>
      </c>
      <c r="G223" s="9" t="s">
        <v>467</v>
      </c>
      <c r="H223" s="9">
        <v>-21.327000000000002</v>
      </c>
      <c r="I223" s="9">
        <v>-30.821000000000002</v>
      </c>
      <c r="J223" s="9">
        <v>-22.408999999999999</v>
      </c>
      <c r="K223" s="9">
        <v>-37.396000000000001</v>
      </c>
      <c r="L223" s="9">
        <v>-31.779</v>
      </c>
      <c r="M223" s="9">
        <v>-34.410899592286476</v>
      </c>
      <c r="N223" s="9">
        <v>-51.710497183593795</v>
      </c>
    </row>
    <row r="224" spans="1:14" x14ac:dyDescent="0.3">
      <c r="A224" s="8" t="s">
        <v>393</v>
      </c>
      <c r="B224" s="4" t="s">
        <v>394</v>
      </c>
      <c r="C224" s="4" t="s">
        <v>395</v>
      </c>
      <c r="D224" s="4"/>
      <c r="E224" s="9" t="s">
        <v>467</v>
      </c>
      <c r="F224" s="9" t="s">
        <v>467</v>
      </c>
      <c r="G224" s="9" t="s">
        <v>467</v>
      </c>
      <c r="H224" s="9">
        <v>16.25</v>
      </c>
      <c r="I224" s="9">
        <v>69.926000000000002</v>
      </c>
      <c r="J224" s="9">
        <v>13.484999999999999</v>
      </c>
      <c r="K224" s="9">
        <v>26.596</v>
      </c>
      <c r="L224" s="9">
        <v>37.283000000000001</v>
      </c>
      <c r="M224" s="9">
        <v>7.4294222079490977</v>
      </c>
      <c r="N224" s="9">
        <v>22.133084386697533</v>
      </c>
    </row>
    <row r="225" spans="1:14" x14ac:dyDescent="0.3">
      <c r="A225" s="8" t="s">
        <v>396</v>
      </c>
      <c r="B225" s="4" t="s">
        <v>397</v>
      </c>
      <c r="C225" s="4" t="s">
        <v>398</v>
      </c>
      <c r="D225" s="4"/>
      <c r="E225" s="9" t="s">
        <v>467</v>
      </c>
      <c r="F225" s="9" t="s">
        <v>467</v>
      </c>
      <c r="G225" s="9">
        <v>-40.417999999999999</v>
      </c>
      <c r="H225" s="9">
        <v>1.6240000000000001</v>
      </c>
      <c r="I225" s="9">
        <v>-86.293000000000006</v>
      </c>
      <c r="J225" s="9">
        <v>-83.085999999999999</v>
      </c>
      <c r="K225" s="9">
        <v>-57.893000000000001</v>
      </c>
      <c r="L225" s="9">
        <v>-27.46</v>
      </c>
      <c r="M225" s="9">
        <v>-42.33900419762108</v>
      </c>
      <c r="N225" s="9">
        <v>-83.335829360212131</v>
      </c>
    </row>
    <row r="226" spans="1:14" x14ac:dyDescent="0.3">
      <c r="A226" s="8" t="s">
        <v>399</v>
      </c>
      <c r="B226" s="4" t="s">
        <v>400</v>
      </c>
      <c r="C226" s="4" t="s">
        <v>401</v>
      </c>
      <c r="D226" s="4"/>
      <c r="E226" s="9" t="s">
        <v>467</v>
      </c>
      <c r="F226" s="9" t="s">
        <v>467</v>
      </c>
      <c r="G226" s="9" t="s">
        <v>467</v>
      </c>
      <c r="H226" s="9">
        <v>0.11</v>
      </c>
      <c r="I226" s="9">
        <v>-12.327</v>
      </c>
      <c r="J226" s="9">
        <v>-1.8620000000000001</v>
      </c>
      <c r="K226" s="9">
        <v>0.50900000000000001</v>
      </c>
      <c r="L226" s="9">
        <v>4.4379999999999997</v>
      </c>
      <c r="M226" s="9">
        <v>0.17402161808424202</v>
      </c>
      <c r="N226" s="9">
        <v>-0.13533938181524133</v>
      </c>
    </row>
    <row r="227" spans="1:14" x14ac:dyDescent="0.3">
      <c r="A227" s="8" t="s">
        <v>402</v>
      </c>
      <c r="B227" s="4" t="s">
        <v>403</v>
      </c>
      <c r="C227" s="4" t="s">
        <v>404</v>
      </c>
      <c r="D227" s="4"/>
      <c r="E227" s="9" t="s">
        <v>467</v>
      </c>
      <c r="F227" s="9" t="s">
        <v>467</v>
      </c>
      <c r="G227" s="9">
        <v>-192.52500000000001</v>
      </c>
      <c r="H227" s="9">
        <v>-171.76900000000001</v>
      </c>
      <c r="I227" s="9">
        <v>-171.48099999999999</v>
      </c>
      <c r="J227" s="9">
        <v>-103.021</v>
      </c>
      <c r="K227" s="9">
        <v>-11.815</v>
      </c>
      <c r="L227" s="9">
        <v>131.65899999999999</v>
      </c>
      <c r="M227" s="9">
        <v>214.80733043206183</v>
      </c>
      <c r="N227" s="9">
        <v>287.72003534560889</v>
      </c>
    </row>
    <row r="228" spans="1:14" x14ac:dyDescent="0.3">
      <c r="A228" s="8" t="s">
        <v>14</v>
      </c>
      <c r="B228" s="4"/>
      <c r="C228" s="4"/>
      <c r="D228" s="4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8" t="s">
        <v>405</v>
      </c>
      <c r="B229" s="4"/>
      <c r="C229" s="4"/>
      <c r="D229" s="4"/>
      <c r="E229" s="9"/>
      <c r="F229" s="9"/>
      <c r="G229" s="9"/>
      <c r="H229" s="9"/>
      <c r="I229" s="9"/>
      <c r="J229" s="9"/>
      <c r="K229" s="9"/>
      <c r="L229" s="9"/>
      <c r="M229" s="9"/>
      <c r="N229" s="9"/>
    </row>
    <row r="230" spans="1:14" x14ac:dyDescent="0.3">
      <c r="A230" s="8" t="s">
        <v>406</v>
      </c>
      <c r="B230" s="4" t="s">
        <v>407</v>
      </c>
      <c r="C230" s="4" t="s">
        <v>408</v>
      </c>
      <c r="D230" s="4"/>
      <c r="E230" s="9" t="s">
        <v>467</v>
      </c>
      <c r="F230" s="9" t="s">
        <v>467</v>
      </c>
      <c r="G230" s="9">
        <v>-29.99</v>
      </c>
      <c r="H230" s="9">
        <v>-32.101999999999997</v>
      </c>
      <c r="I230" s="9">
        <v>-19.353000000000002</v>
      </c>
      <c r="J230" s="9">
        <v>-33.24</v>
      </c>
      <c r="K230" s="9">
        <v>-10.952999999999999</v>
      </c>
      <c r="L230" s="9">
        <v>-20.177</v>
      </c>
      <c r="M230" s="9">
        <v>-24.713333333333331</v>
      </c>
      <c r="N230" s="9">
        <v>-27.146666666666668</v>
      </c>
    </row>
    <row r="231" spans="1:14" x14ac:dyDescent="0.3">
      <c r="A231" s="8" t="s">
        <v>409</v>
      </c>
      <c r="B231" s="4" t="s">
        <v>410</v>
      </c>
      <c r="C231" s="4" t="s">
        <v>411</v>
      </c>
      <c r="D231" s="4"/>
      <c r="E231" s="9" t="s">
        <v>467</v>
      </c>
      <c r="F231" s="9" t="s">
        <v>467</v>
      </c>
      <c r="G231" s="9">
        <v>0</v>
      </c>
      <c r="H231" s="9">
        <v>-0.1</v>
      </c>
      <c r="I231" s="9">
        <v>-0.68200000000000005</v>
      </c>
      <c r="J231" s="9">
        <v>0.38200000000000001</v>
      </c>
      <c r="K231" s="9">
        <v>-0.05</v>
      </c>
      <c r="L231" s="9">
        <v>-0.2</v>
      </c>
      <c r="M231" s="9">
        <v>-0.2</v>
      </c>
      <c r="N231" s="9">
        <v>0</v>
      </c>
    </row>
    <row r="232" spans="1:14" x14ac:dyDescent="0.3">
      <c r="A232" s="8" t="s">
        <v>412</v>
      </c>
      <c r="B232" s="4" t="s">
        <v>413</v>
      </c>
      <c r="C232" s="4" t="s">
        <v>414</v>
      </c>
      <c r="D232" s="4"/>
      <c r="E232" s="9" t="s">
        <v>467</v>
      </c>
      <c r="F232" s="9" t="s">
        <v>467</v>
      </c>
      <c r="G232" s="9">
        <v>-29.99</v>
      </c>
      <c r="H232" s="9">
        <v>-32.201999999999998</v>
      </c>
      <c r="I232" s="9">
        <v>-20.035</v>
      </c>
      <c r="J232" s="9">
        <v>-631.84799999999996</v>
      </c>
      <c r="K232" s="9">
        <v>-78.686999999999998</v>
      </c>
      <c r="L232" s="9">
        <v>-66.620999999999995</v>
      </c>
      <c r="M232" s="9">
        <v>-113.44031550092308</v>
      </c>
      <c r="N232" s="9">
        <v>-58.455332915862556</v>
      </c>
    </row>
    <row r="233" spans="1:14" x14ac:dyDescent="0.3">
      <c r="A233" s="8" t="s">
        <v>14</v>
      </c>
      <c r="B233" s="4"/>
      <c r="C233" s="4"/>
      <c r="D233" s="4"/>
      <c r="E233" s="9"/>
      <c r="F233" s="9"/>
      <c r="G233" s="9"/>
      <c r="H233" s="9"/>
      <c r="I233" s="9"/>
      <c r="J233" s="9"/>
      <c r="K233" s="9"/>
      <c r="L233" s="9"/>
      <c r="M233" s="9"/>
      <c r="N233" s="9"/>
    </row>
    <row r="234" spans="1:14" x14ac:dyDescent="0.3">
      <c r="A234" s="8" t="s">
        <v>415</v>
      </c>
      <c r="B234" s="4"/>
      <c r="C234" s="4"/>
      <c r="D234" s="4"/>
      <c r="E234" s="9"/>
      <c r="F234" s="9"/>
      <c r="G234" s="9"/>
      <c r="H234" s="9"/>
      <c r="I234" s="9"/>
      <c r="J234" s="9"/>
      <c r="K234" s="9"/>
      <c r="L234" s="9"/>
      <c r="M234" s="9"/>
      <c r="N234" s="9"/>
    </row>
    <row r="235" spans="1:14" x14ac:dyDescent="0.3">
      <c r="A235" s="8" t="s">
        <v>416</v>
      </c>
      <c r="B235" s="4" t="s">
        <v>417</v>
      </c>
      <c r="C235" s="4" t="s">
        <v>418</v>
      </c>
      <c r="D235" s="4"/>
      <c r="E235" s="9" t="s">
        <v>467</v>
      </c>
      <c r="F235" s="9" t="s">
        <v>467</v>
      </c>
      <c r="G235" s="9">
        <v>0</v>
      </c>
      <c r="H235" s="9">
        <v>-0.16800000000000001</v>
      </c>
      <c r="I235" s="9">
        <v>-0.54500000000000004</v>
      </c>
      <c r="J235" s="9">
        <v>-1.3029999999999999</v>
      </c>
      <c r="K235" s="9">
        <v>-2.2050000000000001</v>
      </c>
      <c r="L235" s="9">
        <v>-1.6910000000000001</v>
      </c>
      <c r="M235" s="9">
        <v>-0.72740000000000005</v>
      </c>
      <c r="N235" s="9">
        <v>-0.46666666666666667</v>
      </c>
    </row>
    <row r="236" spans="1:14" x14ac:dyDescent="0.3">
      <c r="A236" s="8" t="s">
        <v>419</v>
      </c>
      <c r="B236" s="4" t="s">
        <v>420</v>
      </c>
      <c r="C236" s="4" t="s">
        <v>421</v>
      </c>
      <c r="D236" s="4"/>
      <c r="E236" s="9" t="s">
        <v>467</v>
      </c>
      <c r="F236" s="9" t="s">
        <v>467</v>
      </c>
      <c r="G236" s="9">
        <v>0</v>
      </c>
      <c r="H236" s="9">
        <v>0</v>
      </c>
      <c r="I236" s="9">
        <v>-4.1050000000000004</v>
      </c>
      <c r="J236" s="9">
        <v>-2.532</v>
      </c>
      <c r="K236" s="9">
        <v>0</v>
      </c>
      <c r="L236" s="9">
        <v>0</v>
      </c>
      <c r="M236" s="9">
        <v>0</v>
      </c>
      <c r="N236" s="9">
        <v>0</v>
      </c>
    </row>
    <row r="237" spans="1:14" x14ac:dyDescent="0.3">
      <c r="A237" s="8" t="s">
        <v>422</v>
      </c>
      <c r="B237" s="4" t="s">
        <v>423</v>
      </c>
      <c r="C237" s="4" t="s">
        <v>424</v>
      </c>
      <c r="D237" s="4"/>
      <c r="E237" s="9" t="s">
        <v>467</v>
      </c>
      <c r="F237" s="9" t="s">
        <v>467</v>
      </c>
      <c r="G237" s="9">
        <v>0.997</v>
      </c>
      <c r="H237" s="9">
        <v>2.3769999999999998</v>
      </c>
      <c r="I237" s="9">
        <v>705.08900000000006</v>
      </c>
      <c r="J237" s="9">
        <v>0</v>
      </c>
      <c r="K237" s="9">
        <v>0</v>
      </c>
      <c r="L237" s="9">
        <v>0</v>
      </c>
      <c r="M237" s="9">
        <v>21.337363636363637</v>
      </c>
      <c r="N237" s="9">
        <v>18.25</v>
      </c>
    </row>
    <row r="238" spans="1:14" x14ac:dyDescent="0.3">
      <c r="A238" s="8" t="s">
        <v>425</v>
      </c>
      <c r="B238" s="4" t="s">
        <v>426</v>
      </c>
      <c r="C238" s="4" t="s">
        <v>427</v>
      </c>
      <c r="D238" s="4"/>
      <c r="E238" s="9" t="s">
        <v>467</v>
      </c>
      <c r="F238" s="9" t="s">
        <v>467</v>
      </c>
      <c r="G238" s="9">
        <v>295.85300000000001</v>
      </c>
      <c r="H238" s="9">
        <v>401.97399999999999</v>
      </c>
      <c r="I238" s="9">
        <v>701.64400000000001</v>
      </c>
      <c r="J238" s="9">
        <v>14.212</v>
      </c>
      <c r="K238" s="9">
        <v>20.997</v>
      </c>
      <c r="L238" s="9">
        <v>27.100999999999999</v>
      </c>
      <c r="M238" s="9">
        <v>18.971083333333333</v>
      </c>
      <c r="N238" s="9">
        <v>16.386666666666667</v>
      </c>
    </row>
    <row r="239" spans="1:14" x14ac:dyDescent="0.3">
      <c r="A239" s="8" t="s">
        <v>14</v>
      </c>
      <c r="B239" s="4"/>
      <c r="C239" s="4"/>
      <c r="D239" s="4"/>
      <c r="E239" s="9"/>
      <c r="F239" s="9"/>
      <c r="G239" s="9"/>
      <c r="H239" s="9"/>
      <c r="I239" s="9"/>
      <c r="J239" s="9"/>
      <c r="K239" s="9"/>
      <c r="L239" s="9"/>
      <c r="M239" s="9"/>
      <c r="N239" s="9"/>
    </row>
    <row r="240" spans="1:14" x14ac:dyDescent="0.3">
      <c r="A240" s="8" t="s">
        <v>352</v>
      </c>
      <c r="B240" s="4"/>
      <c r="C240" s="4"/>
      <c r="D240" s="4"/>
      <c r="E240" s="9"/>
      <c r="F240" s="9"/>
      <c r="G240" s="9"/>
      <c r="H240" s="9"/>
      <c r="I240" s="9"/>
      <c r="J240" s="9"/>
      <c r="K240" s="9"/>
      <c r="L240" s="9"/>
      <c r="M240" s="9"/>
      <c r="N240" s="9"/>
    </row>
    <row r="241" spans="1:14" x14ac:dyDescent="0.3">
      <c r="A241" s="8" t="s">
        <v>428</v>
      </c>
      <c r="B241" s="4" t="s">
        <v>429</v>
      </c>
      <c r="C241" s="4" t="s">
        <v>430</v>
      </c>
      <c r="D241" s="4"/>
      <c r="E241" s="9" t="s">
        <v>467</v>
      </c>
      <c r="F241" s="9" t="s">
        <v>467</v>
      </c>
      <c r="G241" s="9">
        <v>0</v>
      </c>
      <c r="H241" s="9">
        <v>0</v>
      </c>
      <c r="I241" s="9">
        <v>-0.127</v>
      </c>
      <c r="J241" s="9">
        <v>0.113</v>
      </c>
      <c r="K241" s="9">
        <v>0.47699999999999998</v>
      </c>
      <c r="L241" s="9">
        <v>-1.083</v>
      </c>
      <c r="M241" s="9">
        <v>1.3441000000000001</v>
      </c>
      <c r="N241" s="9">
        <v>0</v>
      </c>
    </row>
    <row r="242" spans="1:14" x14ac:dyDescent="0.3">
      <c r="A242" s="8" t="s">
        <v>431</v>
      </c>
      <c r="B242" s="4" t="s">
        <v>432</v>
      </c>
      <c r="C242" s="4" t="s">
        <v>433</v>
      </c>
      <c r="D242" s="4"/>
      <c r="E242" s="9" t="s">
        <v>467</v>
      </c>
      <c r="F242" s="9" t="s">
        <v>467</v>
      </c>
      <c r="G242" s="9">
        <v>73.337999999999994</v>
      </c>
      <c r="H242" s="9">
        <v>198.00299999999999</v>
      </c>
      <c r="I242" s="9">
        <v>510.00099999999998</v>
      </c>
      <c r="J242" s="9">
        <v>-720.54399999999998</v>
      </c>
      <c r="K242" s="9">
        <v>-69.028000000000006</v>
      </c>
      <c r="L242" s="9">
        <v>91.055999999999997</v>
      </c>
      <c r="M242" s="9">
        <v>131.39740607753743</v>
      </c>
      <c r="N242" s="9">
        <v>255.28107142137165</v>
      </c>
    </row>
    <row r="243" spans="1:14" x14ac:dyDescent="0.3">
      <c r="A243" s="8" t="s">
        <v>434</v>
      </c>
      <c r="B243" s="4" t="s">
        <v>435</v>
      </c>
      <c r="C243" s="4" t="s">
        <v>436</v>
      </c>
      <c r="D243" s="4"/>
      <c r="E243" s="9" t="s">
        <v>467</v>
      </c>
      <c r="F243" s="9" t="s">
        <v>467</v>
      </c>
      <c r="G243" s="9">
        <v>162.96799999999999</v>
      </c>
      <c r="H243" s="9">
        <v>236.30600000000001</v>
      </c>
      <c r="I243" s="9">
        <v>434.30900000000003</v>
      </c>
      <c r="J243" s="9">
        <v>944.31</v>
      </c>
      <c r="K243" s="9">
        <v>223.76599999999999</v>
      </c>
      <c r="L243" s="9">
        <v>154.738</v>
      </c>
      <c r="M243" s="9">
        <v>271.6104418747027</v>
      </c>
      <c r="N243" s="9">
        <v>422.39323596436265</v>
      </c>
    </row>
    <row r="244" spans="1:14" x14ac:dyDescent="0.3">
      <c r="A244" s="8" t="s">
        <v>437</v>
      </c>
      <c r="B244" s="4" t="s">
        <v>438</v>
      </c>
      <c r="C244" s="4" t="s">
        <v>439</v>
      </c>
      <c r="D244" s="4"/>
      <c r="E244" s="9" t="s">
        <v>467</v>
      </c>
      <c r="F244" s="9" t="s">
        <v>467</v>
      </c>
      <c r="G244" s="9">
        <v>236.30600000000001</v>
      </c>
      <c r="H244" s="9">
        <v>434.30900000000003</v>
      </c>
      <c r="I244" s="9">
        <v>944.31</v>
      </c>
      <c r="J244" s="9">
        <v>223.76599999999999</v>
      </c>
      <c r="K244" s="9">
        <v>154.738</v>
      </c>
      <c r="L244" s="9">
        <v>245.79400000000001</v>
      </c>
      <c r="M244" s="9">
        <v>378.62808354186291</v>
      </c>
      <c r="N244" s="9">
        <v>644.1879960266167</v>
      </c>
    </row>
    <row r="245" spans="1:14" x14ac:dyDescent="0.3">
      <c r="A245" s="8" t="s">
        <v>440</v>
      </c>
      <c r="B245" s="4"/>
      <c r="C245" s="4"/>
      <c r="D245" s="4"/>
      <c r="E245" s="9"/>
      <c r="F245" s="9"/>
      <c r="G245" s="9"/>
      <c r="H245" s="9"/>
      <c r="I245" s="9"/>
      <c r="J245" s="9"/>
      <c r="K245" s="9"/>
      <c r="L245" s="9"/>
      <c r="M245" s="9"/>
      <c r="N245" s="9"/>
    </row>
    <row r="246" spans="1:14" x14ac:dyDescent="0.3">
      <c r="A246" s="8" t="s">
        <v>441</v>
      </c>
      <c r="B246" s="4" t="s">
        <v>442</v>
      </c>
      <c r="C246" s="4" t="s">
        <v>443</v>
      </c>
      <c r="D246" s="4"/>
      <c r="E246" s="9" t="s">
        <v>467</v>
      </c>
      <c r="F246" s="9" t="s">
        <v>467</v>
      </c>
      <c r="G246" s="9">
        <v>-0.83551444445964329</v>
      </c>
      <c r="H246" s="9">
        <v>-0.71785265179665059</v>
      </c>
      <c r="I246" s="9">
        <v>-0.6178527615228967</v>
      </c>
      <c r="J246" s="9">
        <v>-0.20032113682677793</v>
      </c>
      <c r="K246" s="9">
        <v>-2.2089128611284377E-2</v>
      </c>
      <c r="L246" s="9">
        <v>0.23666164411455443</v>
      </c>
      <c r="M246" s="9">
        <v>0.36025399682335468</v>
      </c>
      <c r="N246" s="9">
        <v>0.47420873238702788</v>
      </c>
    </row>
    <row r="247" spans="1:14" x14ac:dyDescent="0.3">
      <c r="A247" s="8" t="s">
        <v>444</v>
      </c>
      <c r="B247" s="4" t="s">
        <v>445</v>
      </c>
      <c r="C247" s="4" t="s">
        <v>446</v>
      </c>
      <c r="D247" s="4"/>
      <c r="E247" s="9" t="s">
        <v>467</v>
      </c>
      <c r="F247" s="9" t="s">
        <v>467</v>
      </c>
      <c r="G247" s="9">
        <v>-216.107</v>
      </c>
      <c r="H247" s="9">
        <v>-189.55199999999999</v>
      </c>
      <c r="I247" s="9">
        <v>-179.738</v>
      </c>
      <c r="J247" s="9">
        <v>-110.03400000000001</v>
      </c>
      <c r="K247" s="9">
        <v>27.053000000000001</v>
      </c>
      <c r="L247" s="9">
        <v>111.482</v>
      </c>
      <c r="M247" s="9">
        <v>189.95548408553699</v>
      </c>
      <c r="N247" s="9">
        <v>254.746498947335</v>
      </c>
    </row>
    <row r="248" spans="1:14" x14ac:dyDescent="0.3">
      <c r="A248" s="8" t="s">
        <v>447</v>
      </c>
      <c r="B248" s="4" t="s">
        <v>448</v>
      </c>
      <c r="C248" s="4" t="s">
        <v>449</v>
      </c>
      <c r="D248" s="4"/>
      <c r="E248" s="9" t="s">
        <v>467</v>
      </c>
      <c r="F248" s="9" t="s">
        <v>467</v>
      </c>
      <c r="G248" s="9">
        <v>-185.63800942727235</v>
      </c>
      <c r="H248" s="9">
        <v>-81.579400172065391</v>
      </c>
      <c r="I248" s="9">
        <v>-44.551471360702237</v>
      </c>
      <c r="J248" s="9">
        <v>-20.881471775892852</v>
      </c>
      <c r="K248" s="9">
        <v>-2.4288846098454742</v>
      </c>
      <c r="L248" s="9">
        <v>8.9242786777767193</v>
      </c>
      <c r="M248" s="9">
        <v>12.032089811605147</v>
      </c>
      <c r="N248" s="9">
        <v>13.646573671167186</v>
      </c>
    </row>
    <row r="249" spans="1:14" x14ac:dyDescent="0.3">
      <c r="A249" s="8" t="s">
        <v>450</v>
      </c>
      <c r="B249" s="4" t="s">
        <v>451</v>
      </c>
      <c r="C249" s="4" t="s">
        <v>452</v>
      </c>
      <c r="D249" s="4"/>
      <c r="E249" s="9" t="s">
        <v>467</v>
      </c>
      <c r="F249" s="9" t="s">
        <v>467</v>
      </c>
      <c r="G249" s="9">
        <v>-160.61819546990364</v>
      </c>
      <c r="H249" s="9">
        <v>-68.733718813148997</v>
      </c>
      <c r="I249" s="9">
        <v>-40.033384304707653</v>
      </c>
      <c r="J249" s="9">
        <v>-15.787570205886183</v>
      </c>
      <c r="K249" s="9">
        <v>-1.2604212783434769</v>
      </c>
      <c r="L249" s="9">
        <v>10.539473694743592</v>
      </c>
      <c r="M249" s="9">
        <v>13.604400256695897</v>
      </c>
      <c r="N249" s="9">
        <v>15.252793223566995</v>
      </c>
    </row>
    <row r="250" spans="1:14" x14ac:dyDescent="0.3">
      <c r="A250" s="8" t="s">
        <v>453</v>
      </c>
      <c r="B250" s="4" t="s">
        <v>454</v>
      </c>
      <c r="C250" s="4" t="s">
        <v>455</v>
      </c>
      <c r="D250" s="4"/>
      <c r="E250" s="9" t="s">
        <v>467</v>
      </c>
      <c r="F250" s="9" t="s">
        <v>467</v>
      </c>
      <c r="G250" s="9">
        <v>25.019813957368708</v>
      </c>
      <c r="H250" s="9">
        <v>12.845681358916385</v>
      </c>
      <c r="I250" s="9">
        <v>4.5180870559945836</v>
      </c>
      <c r="J250" s="9">
        <v>5.0939015700066665</v>
      </c>
      <c r="K250" s="9">
        <v>1.1684633315019974</v>
      </c>
      <c r="L250" s="9">
        <v>1.6151950169668725</v>
      </c>
      <c r="M250" s="9">
        <v>1.5930337868660249</v>
      </c>
      <c r="N250" s="9">
        <v>1.4377049687853918</v>
      </c>
    </row>
    <row r="251" spans="1:14" x14ac:dyDescent="0.3">
      <c r="A251" s="8" t="s">
        <v>14</v>
      </c>
      <c r="B251" s="4"/>
      <c r="C251" s="4"/>
      <c r="D251" s="4"/>
      <c r="E251" s="9"/>
      <c r="F251" s="9"/>
      <c r="G251" s="9"/>
      <c r="H251" s="9"/>
      <c r="I251" s="9"/>
      <c r="J251" s="9"/>
      <c r="K251" s="9"/>
      <c r="L251" s="9"/>
      <c r="M251" s="9"/>
      <c r="N251" s="9"/>
    </row>
    <row r="252" spans="1:14" x14ac:dyDescent="0.3">
      <c r="A252" s="5" t="s">
        <v>456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116D1-7476-4FB1-BE13-7DB4437044B5}">
  <dimension ref="A1:K69"/>
  <sheetViews>
    <sheetView workbookViewId="0">
      <selection activeCell="N44" sqref="N44"/>
    </sheetView>
  </sheetViews>
  <sheetFormatPr defaultRowHeight="14.4" x14ac:dyDescent="0.3"/>
  <cols>
    <col min="1" max="1" width="35.109375" customWidth="1"/>
    <col min="2" max="2" width="0" hidden="1" customWidth="1"/>
    <col min="3" max="11" width="11.88671875" customWidth="1"/>
  </cols>
  <sheetData>
    <row r="1" spans="1:11" x14ac:dyDescent="0.3">
      <c r="A1" s="162"/>
      <c r="B1" s="162"/>
      <c r="C1" s="162"/>
      <c r="D1" s="162"/>
      <c r="E1" s="162"/>
      <c r="F1" s="162"/>
      <c r="G1" s="162"/>
      <c r="H1" s="162"/>
      <c r="I1" s="162"/>
      <c r="J1" s="162"/>
      <c r="K1" s="162"/>
    </row>
    <row r="2" spans="1:11" ht="21" x14ac:dyDescent="0.3">
      <c r="A2" s="6" t="s">
        <v>710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x14ac:dyDescent="0.3">
      <c r="A3" s="163"/>
      <c r="B3" s="163"/>
      <c r="C3" s="163"/>
      <c r="D3" s="163"/>
      <c r="E3" s="163"/>
      <c r="F3" s="163"/>
      <c r="G3" s="163"/>
      <c r="H3" s="163"/>
      <c r="I3" s="163"/>
      <c r="J3" s="163"/>
      <c r="K3" s="163"/>
    </row>
    <row r="4" spans="1:11" x14ac:dyDescent="0.3">
      <c r="A4" s="3" t="s">
        <v>711</v>
      </c>
      <c r="B4" s="3"/>
      <c r="C4" s="164" t="s">
        <v>712</v>
      </c>
      <c r="D4" s="164" t="s">
        <v>713</v>
      </c>
      <c r="E4" s="164" t="s">
        <v>714</v>
      </c>
      <c r="F4" s="164" t="s">
        <v>715</v>
      </c>
      <c r="G4" s="164" t="s">
        <v>716</v>
      </c>
      <c r="H4" s="164" t="s">
        <v>717</v>
      </c>
      <c r="I4" s="164" t="s">
        <v>718</v>
      </c>
      <c r="J4" s="164" t="s">
        <v>719</v>
      </c>
      <c r="K4" s="164" t="s">
        <v>720</v>
      </c>
    </row>
    <row r="5" spans="1:11" x14ac:dyDescent="0.3">
      <c r="A5" s="7" t="s">
        <v>3</v>
      </c>
      <c r="B5" s="7"/>
      <c r="C5" s="165" t="s">
        <v>721</v>
      </c>
      <c r="D5" s="165" t="s">
        <v>722</v>
      </c>
      <c r="E5" s="165" t="s">
        <v>723</v>
      </c>
      <c r="F5" s="165" t="s">
        <v>724</v>
      </c>
      <c r="G5" s="165" t="s">
        <v>725</v>
      </c>
      <c r="H5" s="165" t="s">
        <v>726</v>
      </c>
      <c r="I5" s="165" t="s">
        <v>727</v>
      </c>
      <c r="J5" s="165" t="s">
        <v>728</v>
      </c>
      <c r="K5" s="165" t="s">
        <v>729</v>
      </c>
    </row>
    <row r="6" spans="1:11" x14ac:dyDescent="0.3">
      <c r="A6" s="166" t="s">
        <v>627</v>
      </c>
      <c r="B6" s="166" t="s">
        <v>125</v>
      </c>
      <c r="C6" s="167">
        <v>119.86499999999999</v>
      </c>
      <c r="D6" s="167">
        <v>249.905</v>
      </c>
      <c r="E6" s="167">
        <v>428.34500000000003</v>
      </c>
      <c r="F6" s="167">
        <v>652.54499999999996</v>
      </c>
      <c r="G6" s="167">
        <v>937.38499999999999</v>
      </c>
      <c r="H6" s="167">
        <v>1249.1990000000001</v>
      </c>
      <c r="I6" s="168">
        <v>1426.635</v>
      </c>
      <c r="J6" s="167">
        <v>1577.05555555556</v>
      </c>
      <c r="K6" s="167">
        <v>1900.6315789473699</v>
      </c>
    </row>
    <row r="7" spans="1:11" x14ac:dyDescent="0.3">
      <c r="A7" s="8" t="s">
        <v>730</v>
      </c>
      <c r="B7" s="8" t="s">
        <v>731</v>
      </c>
      <c r="C7" s="169">
        <v>116.992</v>
      </c>
      <c r="D7" s="169">
        <v>245.48099999999999</v>
      </c>
      <c r="E7" s="169">
        <v>418.98</v>
      </c>
      <c r="F7" s="169">
        <v>639.53300000000002</v>
      </c>
      <c r="G7" s="169">
        <v>919.36199999999997</v>
      </c>
      <c r="H7" s="169">
        <v>1225.777</v>
      </c>
      <c r="I7" s="170">
        <v>1397.7529999999999</v>
      </c>
      <c r="J7" s="169"/>
      <c r="K7" s="169"/>
    </row>
    <row r="8" spans="1:11" x14ac:dyDescent="0.3">
      <c r="A8" s="8" t="s">
        <v>732</v>
      </c>
      <c r="B8" s="8" t="s">
        <v>733</v>
      </c>
      <c r="C8" s="169">
        <v>2.8730000000000002</v>
      </c>
      <c r="D8" s="169">
        <v>4.4240000000000004</v>
      </c>
      <c r="E8" s="169">
        <v>9.3650000000000002</v>
      </c>
      <c r="F8" s="169">
        <v>13.012</v>
      </c>
      <c r="G8" s="169">
        <v>18.023</v>
      </c>
      <c r="H8" s="169">
        <v>23.422000000000001</v>
      </c>
      <c r="I8" s="170">
        <v>28.882000000000001</v>
      </c>
      <c r="J8" s="169"/>
      <c r="K8" s="169"/>
    </row>
    <row r="9" spans="1:11" x14ac:dyDescent="0.3">
      <c r="A9" s="8" t="s">
        <v>734</v>
      </c>
      <c r="B9" s="8" t="s">
        <v>735</v>
      </c>
      <c r="C9" s="169">
        <v>48.322000000000003</v>
      </c>
      <c r="D9" s="169">
        <v>75.393000000000001</v>
      </c>
      <c r="E9" s="169">
        <v>124.48399999999999</v>
      </c>
      <c r="F9" s="169">
        <v>182.65600000000001</v>
      </c>
      <c r="G9" s="169">
        <v>247.03200000000001</v>
      </c>
      <c r="H9" s="169">
        <v>298.32100000000003</v>
      </c>
      <c r="I9" s="170">
        <v>330.00099999999998</v>
      </c>
      <c r="J9" s="169"/>
      <c r="K9" s="169"/>
    </row>
    <row r="10" spans="1:11" x14ac:dyDescent="0.3">
      <c r="A10" s="8" t="s">
        <v>736</v>
      </c>
      <c r="B10" s="8" t="s">
        <v>737</v>
      </c>
      <c r="C10" s="169">
        <v>48.322000000000003</v>
      </c>
      <c r="D10" s="169">
        <v>75.393000000000001</v>
      </c>
      <c r="E10" s="169">
        <v>124.48399999999999</v>
      </c>
      <c r="F10" s="169">
        <v>182.65600000000001</v>
      </c>
      <c r="G10" s="169">
        <v>247.03200000000001</v>
      </c>
      <c r="H10" s="169">
        <v>298.32100000000003</v>
      </c>
      <c r="I10" s="170">
        <v>330.00099999999998</v>
      </c>
      <c r="J10" s="169"/>
      <c r="K10" s="169"/>
    </row>
    <row r="11" spans="1:11" x14ac:dyDescent="0.3">
      <c r="A11" s="166" t="s">
        <v>689</v>
      </c>
      <c r="B11" s="166" t="s">
        <v>738</v>
      </c>
      <c r="C11" s="167">
        <v>71.543000000000006</v>
      </c>
      <c r="D11" s="167">
        <v>174.512</v>
      </c>
      <c r="E11" s="167">
        <v>303.86099999999999</v>
      </c>
      <c r="F11" s="167">
        <v>469.88900000000001</v>
      </c>
      <c r="G11" s="167">
        <v>690.35299999999995</v>
      </c>
      <c r="H11" s="167">
        <v>950.87800000000004</v>
      </c>
      <c r="I11" s="168">
        <v>1096.634</v>
      </c>
      <c r="J11" s="167">
        <v>1221.7133977777801</v>
      </c>
      <c r="K11" s="167">
        <v>1470.11952</v>
      </c>
    </row>
    <row r="12" spans="1:11" x14ac:dyDescent="0.3">
      <c r="A12" s="8" t="s">
        <v>739</v>
      </c>
      <c r="B12" s="8" t="s">
        <v>740</v>
      </c>
      <c r="C12" s="169">
        <v>0</v>
      </c>
      <c r="D12" s="169">
        <v>0</v>
      </c>
      <c r="E12" s="169">
        <v>0</v>
      </c>
      <c r="F12" s="169">
        <v>0</v>
      </c>
      <c r="G12" s="169">
        <v>0</v>
      </c>
      <c r="H12" s="169">
        <v>0</v>
      </c>
      <c r="I12" s="170">
        <v>0</v>
      </c>
      <c r="J12" s="169"/>
      <c r="K12" s="169"/>
    </row>
    <row r="13" spans="1:11" x14ac:dyDescent="0.3">
      <c r="A13" s="8" t="s">
        <v>741</v>
      </c>
      <c r="B13" s="8" t="s">
        <v>206</v>
      </c>
      <c r="C13" s="169">
        <v>299.36099999999999</v>
      </c>
      <c r="D13" s="169">
        <v>377.22300000000001</v>
      </c>
      <c r="E13" s="169">
        <v>656.17700000000002</v>
      </c>
      <c r="F13" s="169">
        <v>728.28800000000001</v>
      </c>
      <c r="G13" s="169">
        <v>940.27300000000002</v>
      </c>
      <c r="H13" s="169">
        <v>1135.973</v>
      </c>
      <c r="I13" s="170">
        <v>1217.412</v>
      </c>
      <c r="J13" s="169"/>
      <c r="K13" s="169"/>
    </row>
    <row r="14" spans="1:11" x14ac:dyDescent="0.3">
      <c r="A14" s="8" t="s">
        <v>742</v>
      </c>
      <c r="B14" s="8" t="s">
        <v>743</v>
      </c>
      <c r="C14" s="169">
        <v>228.89500000000001</v>
      </c>
      <c r="D14" s="169">
        <v>277.48500000000001</v>
      </c>
      <c r="E14" s="169">
        <v>451.05200000000002</v>
      </c>
      <c r="F14" s="169">
        <v>540.88300000000004</v>
      </c>
      <c r="G14" s="169">
        <v>681.69200000000001</v>
      </c>
      <c r="H14" s="169">
        <v>836.25699999999995</v>
      </c>
      <c r="I14" s="170">
        <v>898.29100000000005</v>
      </c>
      <c r="J14" s="169"/>
      <c r="K14" s="169"/>
    </row>
    <row r="15" spans="1:11" x14ac:dyDescent="0.3">
      <c r="A15" s="171" t="s">
        <v>744</v>
      </c>
      <c r="B15" s="171" t="s">
        <v>212</v>
      </c>
      <c r="C15" s="172">
        <v>181.55600000000001</v>
      </c>
      <c r="D15" s="172">
        <v>202.262</v>
      </c>
      <c r="E15" s="172">
        <v>291.209</v>
      </c>
      <c r="F15" s="172">
        <v>370.09800000000001</v>
      </c>
      <c r="G15" s="172">
        <v>486.649</v>
      </c>
      <c r="H15" s="172">
        <v>601.64800000000002</v>
      </c>
      <c r="I15" s="173">
        <v>642.20100000000002</v>
      </c>
      <c r="J15" s="172"/>
      <c r="K15" s="172"/>
    </row>
    <row r="16" spans="1:11" x14ac:dyDescent="0.3">
      <c r="A16" s="171" t="s">
        <v>745</v>
      </c>
      <c r="B16" s="171" t="s">
        <v>746</v>
      </c>
      <c r="C16" s="172">
        <v>47.338999999999999</v>
      </c>
      <c r="D16" s="172">
        <v>75.222999999999999</v>
      </c>
      <c r="E16" s="172">
        <v>159.84299999999999</v>
      </c>
      <c r="F16" s="172">
        <v>170.785</v>
      </c>
      <c r="G16" s="172">
        <v>195.04300000000001</v>
      </c>
      <c r="H16" s="172">
        <v>234.60900000000001</v>
      </c>
      <c r="I16" s="173">
        <v>256.08999999999997</v>
      </c>
      <c r="J16" s="172"/>
      <c r="K16" s="172"/>
    </row>
    <row r="17" spans="1:11" x14ac:dyDescent="0.3">
      <c r="A17" s="8" t="s">
        <v>747</v>
      </c>
      <c r="B17" s="8" t="s">
        <v>748</v>
      </c>
      <c r="C17" s="169">
        <v>70.465999999999994</v>
      </c>
      <c r="D17" s="169">
        <v>99.738</v>
      </c>
      <c r="E17" s="169">
        <v>205.125</v>
      </c>
      <c r="F17" s="169">
        <v>187.405</v>
      </c>
      <c r="G17" s="169">
        <v>258.58100000000002</v>
      </c>
      <c r="H17" s="169">
        <v>299.71600000000001</v>
      </c>
      <c r="I17" s="170">
        <v>319.12099999999998</v>
      </c>
      <c r="J17" s="169"/>
      <c r="K17" s="169"/>
    </row>
    <row r="18" spans="1:11" x14ac:dyDescent="0.3">
      <c r="A18" s="8" t="s">
        <v>749</v>
      </c>
      <c r="B18" s="8" t="s">
        <v>750</v>
      </c>
      <c r="C18" s="169">
        <v>0</v>
      </c>
      <c r="D18" s="169">
        <v>0</v>
      </c>
      <c r="E18" s="169">
        <v>0</v>
      </c>
      <c r="F18" s="169">
        <v>0</v>
      </c>
      <c r="G18" s="169">
        <v>0</v>
      </c>
      <c r="H18" s="169">
        <v>0</v>
      </c>
      <c r="I18" s="170">
        <v>0</v>
      </c>
      <c r="J18" s="169"/>
      <c r="K18" s="169"/>
    </row>
    <row r="19" spans="1:11" x14ac:dyDescent="0.3">
      <c r="A19" s="166" t="s">
        <v>751</v>
      </c>
      <c r="B19" s="166" t="s">
        <v>752</v>
      </c>
      <c r="C19" s="167">
        <v>-227.81800000000001</v>
      </c>
      <c r="D19" s="167">
        <v>-202.71100000000001</v>
      </c>
      <c r="E19" s="167">
        <v>-352.31599999999997</v>
      </c>
      <c r="F19" s="167">
        <v>-258.399</v>
      </c>
      <c r="G19" s="167">
        <v>-249.92</v>
      </c>
      <c r="H19" s="167">
        <v>-185.095</v>
      </c>
      <c r="I19" s="168">
        <v>-120.77800000000001</v>
      </c>
      <c r="J19" s="167">
        <v>235.88200000000001</v>
      </c>
      <c r="K19" s="167">
        <v>306</v>
      </c>
    </row>
    <row r="20" spans="1:11" x14ac:dyDescent="0.3">
      <c r="A20" s="8" t="s">
        <v>753</v>
      </c>
      <c r="B20" s="8" t="s">
        <v>754</v>
      </c>
      <c r="C20" s="169">
        <v>-2.9340000000000002</v>
      </c>
      <c r="D20" s="169">
        <v>0.64200000000000002</v>
      </c>
      <c r="E20" s="169">
        <v>2E-3</v>
      </c>
      <c r="F20" s="169">
        <v>-15.62</v>
      </c>
      <c r="G20" s="169">
        <v>-39.963999999999999</v>
      </c>
      <c r="H20" s="169">
        <v>-39.558999999999997</v>
      </c>
      <c r="I20" s="170">
        <v>-43.997999999999998</v>
      </c>
      <c r="J20" s="169"/>
      <c r="K20" s="169"/>
    </row>
    <row r="21" spans="1:11" x14ac:dyDescent="0.3">
      <c r="A21" s="8" t="s">
        <v>755</v>
      </c>
      <c r="B21" s="8" t="s">
        <v>756</v>
      </c>
      <c r="C21" s="169">
        <v>0</v>
      </c>
      <c r="D21" s="169">
        <v>0</v>
      </c>
      <c r="E21" s="169">
        <v>0</v>
      </c>
      <c r="F21" s="169">
        <v>0</v>
      </c>
      <c r="G21" s="169">
        <v>0</v>
      </c>
      <c r="H21" s="169">
        <v>0</v>
      </c>
      <c r="I21" s="170"/>
      <c r="J21" s="169"/>
      <c r="K21" s="169"/>
    </row>
    <row r="22" spans="1:11" x14ac:dyDescent="0.3">
      <c r="A22" s="8" t="s">
        <v>757</v>
      </c>
      <c r="B22" s="8" t="s">
        <v>758</v>
      </c>
      <c r="C22" s="169">
        <v>-2.9340000000000002</v>
      </c>
      <c r="D22" s="169">
        <v>0.64200000000000002</v>
      </c>
      <c r="E22" s="169">
        <v>2E-3</v>
      </c>
      <c r="F22" s="169">
        <v>-15.62</v>
      </c>
      <c r="G22" s="169">
        <v>-39.963999999999999</v>
      </c>
      <c r="H22" s="169">
        <v>-39.558999999999997</v>
      </c>
      <c r="I22" s="170">
        <v>-43.997999999999998</v>
      </c>
      <c r="J22" s="169"/>
      <c r="K22" s="169"/>
    </row>
    <row r="23" spans="1:11" x14ac:dyDescent="0.3">
      <c r="A23" s="166" t="s">
        <v>759</v>
      </c>
      <c r="B23" s="166" t="s">
        <v>760</v>
      </c>
      <c r="C23" s="167">
        <v>-224.88399999999999</v>
      </c>
      <c r="D23" s="167">
        <v>-203.35300000000001</v>
      </c>
      <c r="E23" s="167">
        <v>-352.31799999999998</v>
      </c>
      <c r="F23" s="167">
        <v>-242.779</v>
      </c>
      <c r="G23" s="167">
        <v>-209.95599999999999</v>
      </c>
      <c r="H23" s="167">
        <v>-145.536</v>
      </c>
      <c r="I23" s="168">
        <v>-76.78</v>
      </c>
      <c r="J23" s="167">
        <v>-35.26</v>
      </c>
      <c r="K23" s="167">
        <v>105.514</v>
      </c>
    </row>
    <row r="24" spans="1:11" x14ac:dyDescent="0.3">
      <c r="A24" s="8" t="s">
        <v>761</v>
      </c>
      <c r="B24" s="8" t="s">
        <v>762</v>
      </c>
      <c r="C24" s="169">
        <v>0</v>
      </c>
      <c r="D24" s="169">
        <v>6.7679999999999998</v>
      </c>
      <c r="E24" s="169">
        <v>1.532</v>
      </c>
      <c r="F24" s="169">
        <v>1.056</v>
      </c>
      <c r="G24" s="169">
        <v>73.427000000000007</v>
      </c>
      <c r="H24" s="169">
        <v>4.8780000000000001</v>
      </c>
      <c r="I24" s="170">
        <v>4.8780000000000001</v>
      </c>
      <c r="J24" s="169"/>
      <c r="K24" s="169"/>
    </row>
    <row r="25" spans="1:11" x14ac:dyDescent="0.3">
      <c r="A25" s="8" t="s">
        <v>763</v>
      </c>
      <c r="B25" s="8" t="s">
        <v>764</v>
      </c>
      <c r="C25" s="169" t="s">
        <v>830</v>
      </c>
      <c r="D25" s="169" t="s">
        <v>830</v>
      </c>
      <c r="E25" s="169" t="s">
        <v>830</v>
      </c>
      <c r="F25" s="169" t="s">
        <v>830</v>
      </c>
      <c r="G25" s="169">
        <v>68.665000000000006</v>
      </c>
      <c r="H25" s="169">
        <v>0.85</v>
      </c>
      <c r="I25" s="170"/>
      <c r="J25" s="169"/>
      <c r="K25" s="169"/>
    </row>
    <row r="26" spans="1:11" x14ac:dyDescent="0.3">
      <c r="A26" s="8" t="s">
        <v>765</v>
      </c>
      <c r="B26" s="8" t="s">
        <v>766</v>
      </c>
      <c r="C26" s="169" t="s">
        <v>830</v>
      </c>
      <c r="D26" s="169">
        <v>6.7679999999999998</v>
      </c>
      <c r="E26" s="169">
        <v>1.532</v>
      </c>
      <c r="F26" s="169">
        <v>1.056</v>
      </c>
      <c r="G26" s="169">
        <v>4.7619999999999996</v>
      </c>
      <c r="H26" s="169">
        <v>4.0279999999999996</v>
      </c>
      <c r="I26" s="170"/>
      <c r="J26" s="169"/>
      <c r="K26" s="169"/>
    </row>
    <row r="27" spans="1:11" x14ac:dyDescent="0.3">
      <c r="A27" s="166" t="s">
        <v>767</v>
      </c>
      <c r="B27" s="166" t="s">
        <v>760</v>
      </c>
      <c r="C27" s="167">
        <v>-224.88399999999999</v>
      </c>
      <c r="D27" s="167">
        <v>-210.12100000000001</v>
      </c>
      <c r="E27" s="167">
        <v>-353.85</v>
      </c>
      <c r="F27" s="167">
        <v>-243.83500000000001</v>
      </c>
      <c r="G27" s="167">
        <v>-283.38299999999998</v>
      </c>
      <c r="H27" s="167">
        <v>-150.41399999999999</v>
      </c>
      <c r="I27" s="168">
        <v>-81.658000000000001</v>
      </c>
      <c r="J27" s="167">
        <v>-35.26</v>
      </c>
      <c r="K27" s="167">
        <v>105.514</v>
      </c>
    </row>
    <row r="28" spans="1:11" x14ac:dyDescent="0.3">
      <c r="A28" s="8" t="s">
        <v>768</v>
      </c>
      <c r="B28" s="8" t="s">
        <v>181</v>
      </c>
      <c r="C28" s="169">
        <v>0.34</v>
      </c>
      <c r="D28" s="169">
        <v>8.6999999999999994E-2</v>
      </c>
      <c r="E28" s="169">
        <v>1.1739999999999999</v>
      </c>
      <c r="F28" s="169">
        <v>3.5870000000000002</v>
      </c>
      <c r="G28" s="169">
        <v>3.343</v>
      </c>
      <c r="H28" s="169">
        <v>4.4930000000000003</v>
      </c>
      <c r="I28" s="170">
        <v>6.2709999999999999</v>
      </c>
      <c r="J28" s="169"/>
      <c r="K28" s="169"/>
    </row>
    <row r="29" spans="1:11" x14ac:dyDescent="0.3">
      <c r="A29" s="8" t="s">
        <v>769</v>
      </c>
      <c r="B29" s="8" t="s">
        <v>770</v>
      </c>
      <c r="C29" s="169">
        <v>0.34</v>
      </c>
      <c r="D29" s="169">
        <v>0.38700000000000001</v>
      </c>
      <c r="E29" s="169">
        <v>0.13500000000000001</v>
      </c>
      <c r="F29" s="169">
        <v>1.5920000000000001</v>
      </c>
      <c r="G29" s="169">
        <v>2.4119999999999999</v>
      </c>
      <c r="H29" s="169">
        <v>2.42</v>
      </c>
      <c r="I29" s="170"/>
      <c r="J29" s="169"/>
      <c r="K29" s="169"/>
    </row>
    <row r="30" spans="1:11" x14ac:dyDescent="0.3">
      <c r="A30" s="8" t="s">
        <v>771</v>
      </c>
      <c r="B30" s="8" t="s">
        <v>772</v>
      </c>
      <c r="C30" s="169">
        <v>0</v>
      </c>
      <c r="D30" s="169">
        <v>-0.3</v>
      </c>
      <c r="E30" s="169">
        <v>1.0389999999999999</v>
      </c>
      <c r="F30" s="169">
        <v>1.9950000000000001</v>
      </c>
      <c r="G30" s="169">
        <v>0.93100000000000005</v>
      </c>
      <c r="H30" s="169">
        <v>2.073</v>
      </c>
      <c r="I30" s="170"/>
      <c r="J30" s="169"/>
      <c r="K30" s="169"/>
    </row>
    <row r="31" spans="1:11" x14ac:dyDescent="0.3">
      <c r="A31" s="166" t="s">
        <v>773</v>
      </c>
      <c r="B31" s="166" t="s">
        <v>184</v>
      </c>
      <c r="C31" s="167">
        <v>-225.22399999999999</v>
      </c>
      <c r="D31" s="167">
        <v>-210.208</v>
      </c>
      <c r="E31" s="167">
        <v>-355.024</v>
      </c>
      <c r="F31" s="167">
        <v>-247.422</v>
      </c>
      <c r="G31" s="167">
        <v>-286.726</v>
      </c>
      <c r="H31" s="167">
        <v>-154.90700000000001</v>
      </c>
      <c r="I31" s="168">
        <v>-87.929000000000002</v>
      </c>
      <c r="J31" s="167">
        <v>-60.073</v>
      </c>
      <c r="K31" s="167">
        <v>-4.1130000000000004</v>
      </c>
    </row>
    <row r="32" spans="1:11" x14ac:dyDescent="0.3">
      <c r="A32" s="8" t="s">
        <v>774</v>
      </c>
      <c r="B32" s="8" t="s">
        <v>775</v>
      </c>
      <c r="C32" s="169">
        <v>0</v>
      </c>
      <c r="D32" s="169">
        <v>0</v>
      </c>
      <c r="E32" s="169">
        <v>0</v>
      </c>
      <c r="F32" s="169">
        <v>0</v>
      </c>
      <c r="G32" s="169">
        <v>0</v>
      </c>
      <c r="H32" s="169">
        <v>0</v>
      </c>
      <c r="I32" s="170">
        <v>0</v>
      </c>
      <c r="J32" s="169"/>
      <c r="K32" s="169"/>
    </row>
    <row r="33" spans="1:11" x14ac:dyDescent="0.3">
      <c r="A33" s="8" t="s">
        <v>776</v>
      </c>
      <c r="B33" s="8" t="s">
        <v>777</v>
      </c>
      <c r="C33" s="169">
        <v>0</v>
      </c>
      <c r="D33" s="169">
        <v>0</v>
      </c>
      <c r="E33" s="169">
        <v>0</v>
      </c>
      <c r="F33" s="169">
        <v>0</v>
      </c>
      <c r="G33" s="169">
        <v>0</v>
      </c>
      <c r="H33" s="169">
        <v>0</v>
      </c>
      <c r="I33" s="170">
        <v>0</v>
      </c>
      <c r="J33" s="169"/>
      <c r="K33" s="169"/>
    </row>
    <row r="34" spans="1:11" x14ac:dyDescent="0.3">
      <c r="A34" s="8" t="s">
        <v>778</v>
      </c>
      <c r="B34" s="8" t="s">
        <v>779</v>
      </c>
      <c r="C34" s="169">
        <v>0</v>
      </c>
      <c r="D34" s="169">
        <v>0</v>
      </c>
      <c r="E34" s="169">
        <v>0</v>
      </c>
      <c r="F34" s="169">
        <v>0</v>
      </c>
      <c r="G34" s="169">
        <v>0</v>
      </c>
      <c r="H34" s="169">
        <v>0</v>
      </c>
      <c r="I34" s="170">
        <v>0</v>
      </c>
      <c r="J34" s="169"/>
      <c r="K34" s="169"/>
    </row>
    <row r="35" spans="1:11" x14ac:dyDescent="0.3">
      <c r="A35" s="166" t="s">
        <v>780</v>
      </c>
      <c r="B35" s="166" t="s">
        <v>781</v>
      </c>
      <c r="C35" s="167">
        <v>-225.22399999999999</v>
      </c>
      <c r="D35" s="167">
        <v>-210.208</v>
      </c>
      <c r="E35" s="167">
        <v>-355.024</v>
      </c>
      <c r="F35" s="167">
        <v>-247.422</v>
      </c>
      <c r="G35" s="167">
        <v>-286.726</v>
      </c>
      <c r="H35" s="167">
        <v>-154.90700000000001</v>
      </c>
      <c r="I35" s="168">
        <v>-87.929000000000002</v>
      </c>
      <c r="J35" s="167"/>
      <c r="K35" s="167"/>
    </row>
    <row r="36" spans="1:11" x14ac:dyDescent="0.3">
      <c r="A36" s="8" t="s">
        <v>782</v>
      </c>
      <c r="B36" s="8" t="s">
        <v>783</v>
      </c>
      <c r="C36" s="169">
        <v>0</v>
      </c>
      <c r="D36" s="169">
        <v>0</v>
      </c>
      <c r="E36" s="169">
        <v>0</v>
      </c>
      <c r="F36" s="169">
        <v>0</v>
      </c>
      <c r="G36" s="169">
        <v>0</v>
      </c>
      <c r="H36" s="169">
        <v>0</v>
      </c>
      <c r="I36" s="170">
        <v>0</v>
      </c>
      <c r="J36" s="169"/>
      <c r="K36" s="169"/>
    </row>
    <row r="37" spans="1:11" x14ac:dyDescent="0.3">
      <c r="A37" s="166" t="s">
        <v>784</v>
      </c>
      <c r="B37" s="166" t="s">
        <v>785</v>
      </c>
      <c r="C37" s="167">
        <v>-225.22399999999999</v>
      </c>
      <c r="D37" s="167">
        <v>-210.208</v>
      </c>
      <c r="E37" s="167">
        <v>-355.024</v>
      </c>
      <c r="F37" s="167">
        <v>-247.422</v>
      </c>
      <c r="G37" s="167">
        <v>-286.726</v>
      </c>
      <c r="H37" s="167">
        <v>-154.90700000000001</v>
      </c>
      <c r="I37" s="168">
        <v>-87.929000000000002</v>
      </c>
      <c r="J37" s="167">
        <v>-60.073</v>
      </c>
      <c r="K37" s="167">
        <v>-4.1130000000000004</v>
      </c>
    </row>
    <row r="38" spans="1:11" x14ac:dyDescent="0.3">
      <c r="A38" s="8" t="s">
        <v>786</v>
      </c>
      <c r="B38" s="8" t="s">
        <v>787</v>
      </c>
      <c r="C38" s="169">
        <v>0</v>
      </c>
      <c r="D38" s="169">
        <v>0</v>
      </c>
      <c r="E38" s="169">
        <v>0</v>
      </c>
      <c r="F38" s="169">
        <v>0</v>
      </c>
      <c r="G38" s="169">
        <v>0</v>
      </c>
      <c r="H38" s="169">
        <v>0</v>
      </c>
      <c r="I38" s="170">
        <v>0</v>
      </c>
      <c r="J38" s="169"/>
      <c r="K38" s="169"/>
    </row>
    <row r="39" spans="1:11" x14ac:dyDescent="0.3">
      <c r="A39" s="8" t="s">
        <v>788</v>
      </c>
      <c r="B39" s="8" t="s">
        <v>789</v>
      </c>
      <c r="C39" s="169">
        <v>0</v>
      </c>
      <c r="D39" s="169">
        <v>0</v>
      </c>
      <c r="E39" s="169">
        <v>0</v>
      </c>
      <c r="F39" s="169">
        <v>0</v>
      </c>
      <c r="G39" s="169">
        <v>0</v>
      </c>
      <c r="H39" s="169">
        <v>0</v>
      </c>
      <c r="I39" s="170">
        <v>0</v>
      </c>
      <c r="J39" s="169"/>
      <c r="K39" s="169"/>
    </row>
    <row r="40" spans="1:11" x14ac:dyDescent="0.3">
      <c r="A40" s="166" t="s">
        <v>790</v>
      </c>
      <c r="B40" s="166" t="s">
        <v>791</v>
      </c>
      <c r="C40" s="167">
        <v>-225.22399999999999</v>
      </c>
      <c r="D40" s="167">
        <v>-210.208</v>
      </c>
      <c r="E40" s="167">
        <v>-355.024</v>
      </c>
      <c r="F40" s="167">
        <v>-247.422</v>
      </c>
      <c r="G40" s="167">
        <v>-286.726</v>
      </c>
      <c r="H40" s="167">
        <v>-154.90700000000001</v>
      </c>
      <c r="I40" s="168">
        <v>-87.929000000000002</v>
      </c>
      <c r="J40" s="167">
        <v>-60.073</v>
      </c>
      <c r="K40" s="167">
        <v>-4.1130000000000004</v>
      </c>
    </row>
    <row r="41" spans="1:11" x14ac:dyDescent="0.3">
      <c r="A41" s="166"/>
      <c r="B41" s="174"/>
      <c r="C41" s="174"/>
      <c r="D41" s="174"/>
      <c r="E41" s="174"/>
      <c r="F41" s="174"/>
      <c r="G41" s="174"/>
      <c r="H41" s="174"/>
      <c r="I41" s="175"/>
      <c r="J41" s="174"/>
      <c r="K41" s="174"/>
    </row>
    <row r="42" spans="1:11" x14ac:dyDescent="0.3">
      <c r="A42" s="166" t="s">
        <v>792</v>
      </c>
      <c r="B42" s="166" t="s">
        <v>791</v>
      </c>
      <c r="C42" s="167">
        <v>-225.22399999999999</v>
      </c>
      <c r="D42" s="167">
        <v>-204.8613</v>
      </c>
      <c r="E42" s="167">
        <v>-353.81369999999998</v>
      </c>
      <c r="F42" s="167">
        <v>-246.58779999999999</v>
      </c>
      <c r="G42" s="167">
        <v>-228.71870000000001</v>
      </c>
      <c r="H42" s="167">
        <v>-150.029</v>
      </c>
      <c r="I42" s="168">
        <v>-83.808890000000005</v>
      </c>
      <c r="J42" s="167">
        <v>272.61099999999999</v>
      </c>
      <c r="K42" s="167">
        <v>336.88900000000001</v>
      </c>
    </row>
    <row r="43" spans="1:11" x14ac:dyDescent="0.3">
      <c r="A43" s="8" t="s">
        <v>793</v>
      </c>
      <c r="B43" s="8" t="s">
        <v>794</v>
      </c>
      <c r="C43" s="169">
        <v>0</v>
      </c>
      <c r="D43" s="169">
        <v>5.3467000000000002</v>
      </c>
      <c r="E43" s="169">
        <v>1.2102999999999999</v>
      </c>
      <c r="F43" s="169">
        <v>0.83420000000000005</v>
      </c>
      <c r="G43" s="169">
        <v>58.007300000000001</v>
      </c>
      <c r="H43" s="169">
        <v>4.8780000000000001</v>
      </c>
      <c r="I43" s="170">
        <v>4.1201100000000004</v>
      </c>
      <c r="J43" s="169"/>
      <c r="K43" s="169"/>
    </row>
    <row r="44" spans="1:11" x14ac:dyDescent="0.3">
      <c r="A44" s="8" t="s">
        <v>795</v>
      </c>
      <c r="B44" s="8" t="s">
        <v>775</v>
      </c>
      <c r="C44" s="169">
        <v>0</v>
      </c>
      <c r="D44" s="169">
        <v>0</v>
      </c>
      <c r="E44" s="169">
        <v>0</v>
      </c>
      <c r="F44" s="169">
        <v>0</v>
      </c>
      <c r="G44" s="169">
        <v>0</v>
      </c>
      <c r="H44" s="169">
        <v>0</v>
      </c>
      <c r="I44" s="170">
        <v>0</v>
      </c>
      <c r="J44" s="169"/>
      <c r="K44" s="169"/>
    </row>
    <row r="45" spans="1:11" x14ac:dyDescent="0.3">
      <c r="A45" s="166"/>
      <c r="B45" s="174"/>
      <c r="C45" s="174"/>
      <c r="D45" s="174"/>
      <c r="E45" s="174"/>
      <c r="F45" s="174"/>
      <c r="G45" s="174"/>
      <c r="H45" s="174"/>
      <c r="I45" s="175"/>
      <c r="J45" s="174"/>
      <c r="K45" s="174"/>
    </row>
    <row r="46" spans="1:11" x14ac:dyDescent="0.3">
      <c r="A46" s="8" t="s">
        <v>796</v>
      </c>
      <c r="B46" s="8" t="s">
        <v>190</v>
      </c>
      <c r="C46" s="169">
        <v>230.42689999999999</v>
      </c>
      <c r="D46" s="169">
        <v>239.2817</v>
      </c>
      <c r="E46" s="169">
        <v>277.54349999999999</v>
      </c>
      <c r="F46" s="169">
        <v>514.27919999999995</v>
      </c>
      <c r="G46" s="169">
        <v>534.87850000000003</v>
      </c>
      <c r="H46" s="169">
        <v>556.31740000000002</v>
      </c>
      <c r="I46" s="170">
        <v>571.73808399999996</v>
      </c>
      <c r="J46" s="169"/>
      <c r="K46" s="169"/>
    </row>
    <row r="47" spans="1:11" x14ac:dyDescent="0.3">
      <c r="A47" s="166" t="s">
        <v>797</v>
      </c>
      <c r="B47" s="166" t="s">
        <v>798</v>
      </c>
      <c r="C47" s="176">
        <v>-0.98</v>
      </c>
      <c r="D47" s="176">
        <v>-0.87849999999999995</v>
      </c>
      <c r="E47" s="176">
        <v>-1.28</v>
      </c>
      <c r="F47" s="176">
        <v>-0.48</v>
      </c>
      <c r="G47" s="176">
        <v>-0.54</v>
      </c>
      <c r="H47" s="176">
        <v>-0.28000000000000003</v>
      </c>
      <c r="I47" s="177">
        <v>-0.16</v>
      </c>
      <c r="J47" s="176">
        <v>-0.1</v>
      </c>
      <c r="K47" s="176">
        <v>3.0000000000000001E-3</v>
      </c>
    </row>
    <row r="48" spans="1:11" x14ac:dyDescent="0.3">
      <c r="A48" s="166" t="s">
        <v>799</v>
      </c>
      <c r="B48" s="166" t="s">
        <v>800</v>
      </c>
      <c r="C48" s="176">
        <v>-0.98</v>
      </c>
      <c r="D48" s="176">
        <v>-0.87849999999999995</v>
      </c>
      <c r="E48" s="176">
        <v>-1.28</v>
      </c>
      <c r="F48" s="176">
        <v>-0.48</v>
      </c>
      <c r="G48" s="176">
        <v>-0.54</v>
      </c>
      <c r="H48" s="176">
        <v>-0.28000000000000003</v>
      </c>
      <c r="I48" s="177">
        <v>-0.16</v>
      </c>
      <c r="J48" s="176">
        <v>-0.1</v>
      </c>
      <c r="K48" s="176">
        <v>3.0000000000000001E-3</v>
      </c>
    </row>
    <row r="49" spans="1:11" x14ac:dyDescent="0.3">
      <c r="A49" s="166" t="s">
        <v>801</v>
      </c>
      <c r="B49" s="166" t="s">
        <v>802</v>
      </c>
      <c r="C49" s="176">
        <v>-0.98</v>
      </c>
      <c r="D49" s="176">
        <v>-0.85619999999999996</v>
      </c>
      <c r="E49" s="176">
        <v>-1.2747999999999999</v>
      </c>
      <c r="F49" s="176">
        <v>-0.47949999999999998</v>
      </c>
      <c r="G49" s="176">
        <v>-0.42759999999999998</v>
      </c>
      <c r="H49" s="176">
        <v>-0.2697</v>
      </c>
      <c r="I49" s="177">
        <v>-0.15015100000000001</v>
      </c>
      <c r="J49" s="176">
        <v>0.46800000000000003</v>
      </c>
      <c r="K49" s="176">
        <v>0.56100000000000005</v>
      </c>
    </row>
    <row r="50" spans="1:11" x14ac:dyDescent="0.3">
      <c r="A50" s="166"/>
      <c r="B50" s="174"/>
      <c r="C50" s="174"/>
      <c r="D50" s="174"/>
      <c r="E50" s="174"/>
      <c r="F50" s="174"/>
      <c r="G50" s="174"/>
      <c r="H50" s="174"/>
      <c r="I50" s="175"/>
      <c r="J50" s="174"/>
      <c r="K50" s="174"/>
    </row>
    <row r="51" spans="1:11" x14ac:dyDescent="0.3">
      <c r="A51" s="8" t="s">
        <v>803</v>
      </c>
      <c r="B51" s="8" t="s">
        <v>193</v>
      </c>
      <c r="C51" s="169">
        <v>230.42689999999999</v>
      </c>
      <c r="D51" s="169">
        <v>239.2817</v>
      </c>
      <c r="E51" s="169">
        <v>277.54349999999999</v>
      </c>
      <c r="F51" s="169">
        <v>514.27919999999995</v>
      </c>
      <c r="G51" s="169">
        <v>534.87850000000003</v>
      </c>
      <c r="H51" s="169">
        <v>556.31740000000002</v>
      </c>
      <c r="I51" s="170">
        <v>571.73808399999996</v>
      </c>
      <c r="J51" s="169"/>
      <c r="K51" s="169"/>
    </row>
    <row r="52" spans="1:11" x14ac:dyDescent="0.3">
      <c r="A52" s="166" t="s">
        <v>804</v>
      </c>
      <c r="B52" s="166" t="s">
        <v>805</v>
      </c>
      <c r="C52" s="176">
        <v>-0.98</v>
      </c>
      <c r="D52" s="176">
        <v>-0.87849999999999995</v>
      </c>
      <c r="E52" s="176">
        <v>-1.28</v>
      </c>
      <c r="F52" s="176">
        <v>-0.48</v>
      </c>
      <c r="G52" s="176">
        <v>-0.54</v>
      </c>
      <c r="H52" s="176">
        <v>-0.28000000000000003</v>
      </c>
      <c r="I52" s="177">
        <v>-0.16</v>
      </c>
      <c r="J52" s="176">
        <v>-0.1</v>
      </c>
      <c r="K52" s="176">
        <v>3.0000000000000001E-3</v>
      </c>
    </row>
    <row r="53" spans="1:11" x14ac:dyDescent="0.3">
      <c r="A53" s="166" t="s">
        <v>806</v>
      </c>
      <c r="B53" s="166" t="s">
        <v>807</v>
      </c>
      <c r="C53" s="176">
        <v>-0.98</v>
      </c>
      <c r="D53" s="176">
        <v>-0.87849999999999995</v>
      </c>
      <c r="E53" s="176">
        <v>-1.28</v>
      </c>
      <c r="F53" s="176">
        <v>-0.48</v>
      </c>
      <c r="G53" s="176">
        <v>-0.54</v>
      </c>
      <c r="H53" s="176">
        <v>-0.28000000000000003</v>
      </c>
      <c r="I53" s="177">
        <v>-0.16</v>
      </c>
      <c r="J53" s="176">
        <v>-0.1</v>
      </c>
      <c r="K53" s="176">
        <v>3.0000000000000001E-3</v>
      </c>
    </row>
    <row r="54" spans="1:11" x14ac:dyDescent="0.3">
      <c r="A54" s="166" t="s">
        <v>808</v>
      </c>
      <c r="B54" s="166" t="s">
        <v>809</v>
      </c>
      <c r="C54" s="176">
        <v>-0.98</v>
      </c>
      <c r="D54" s="176">
        <v>-0.85619999999999996</v>
      </c>
      <c r="E54" s="176">
        <v>-1.2756000000000001</v>
      </c>
      <c r="F54" s="176">
        <v>-0.47949999999999998</v>
      </c>
      <c r="G54" s="176">
        <v>-0.43159999999999998</v>
      </c>
      <c r="H54" s="176">
        <v>-0.2712</v>
      </c>
      <c r="I54" s="177">
        <v>-0.15264900000000001</v>
      </c>
      <c r="J54" s="176">
        <v>0.46800000000000003</v>
      </c>
      <c r="K54" s="176">
        <v>0.56100000000000005</v>
      </c>
    </row>
    <row r="55" spans="1:11" x14ac:dyDescent="0.3">
      <c r="A55" s="166"/>
      <c r="B55" s="174"/>
      <c r="C55" s="174"/>
      <c r="D55" s="174"/>
      <c r="E55" s="174"/>
      <c r="F55" s="174"/>
      <c r="G55" s="174"/>
      <c r="H55" s="174"/>
      <c r="I55" s="175"/>
      <c r="J55" s="174"/>
      <c r="K55" s="174"/>
    </row>
    <row r="56" spans="1:11" x14ac:dyDescent="0.3">
      <c r="A56" s="166" t="s">
        <v>810</v>
      </c>
      <c r="B56" s="174"/>
      <c r="C56" s="174"/>
      <c r="D56" s="174"/>
      <c r="E56" s="174"/>
      <c r="F56" s="174"/>
      <c r="G56" s="174"/>
      <c r="H56" s="174"/>
      <c r="I56" s="175"/>
      <c r="J56" s="174"/>
      <c r="K56" s="174"/>
    </row>
    <row r="57" spans="1:11" x14ac:dyDescent="0.3">
      <c r="A57" s="8" t="s">
        <v>811</v>
      </c>
      <c r="B57" s="8" t="s">
        <v>812</v>
      </c>
      <c r="C57" s="178" t="s">
        <v>813</v>
      </c>
      <c r="D57" s="178" t="s">
        <v>813</v>
      </c>
      <c r="E57" s="178" t="s">
        <v>813</v>
      </c>
      <c r="F57" s="178" t="s">
        <v>813</v>
      </c>
      <c r="G57" s="178" t="s">
        <v>813</v>
      </c>
      <c r="H57" s="178" t="s">
        <v>813</v>
      </c>
      <c r="I57" s="179"/>
      <c r="J57" s="178"/>
      <c r="K57" s="178"/>
    </row>
    <row r="58" spans="1:11" x14ac:dyDescent="0.3">
      <c r="A58" s="8" t="s">
        <v>516</v>
      </c>
      <c r="B58" s="8" t="s">
        <v>516</v>
      </c>
      <c r="C58" s="169">
        <v>-201.35</v>
      </c>
      <c r="D58" s="169">
        <v>-168.36099999999999</v>
      </c>
      <c r="E58" s="169">
        <v>-317.97000000000003</v>
      </c>
      <c r="F58" s="169">
        <v>-222.09100000000001</v>
      </c>
      <c r="G58" s="169">
        <v>-211.471</v>
      </c>
      <c r="H58" s="169">
        <v>-143.57499999999999</v>
      </c>
      <c r="I58" s="170">
        <v>-84.632999999999996</v>
      </c>
      <c r="J58" s="169">
        <v>259.33333333333297</v>
      </c>
      <c r="K58" s="169">
        <v>332.555555555556</v>
      </c>
    </row>
    <row r="59" spans="1:11" x14ac:dyDescent="0.3">
      <c r="A59" s="8" t="s">
        <v>814</v>
      </c>
      <c r="B59" s="8" t="s">
        <v>815</v>
      </c>
      <c r="C59" s="9">
        <v>-167.98060000000001</v>
      </c>
      <c r="D59" s="9">
        <v>-67.37</v>
      </c>
      <c r="E59" s="9">
        <v>-74.232200000000006</v>
      </c>
      <c r="F59" s="9">
        <v>-34.034599999999998</v>
      </c>
      <c r="G59" s="9">
        <v>-22.559699999999999</v>
      </c>
      <c r="H59" s="9">
        <v>-11.493399999999999</v>
      </c>
      <c r="I59" s="180">
        <v>-5.9323513021901197</v>
      </c>
      <c r="J59" s="9">
        <v>16.444121197979001</v>
      </c>
      <c r="K59" s="9">
        <v>17.497127271349701</v>
      </c>
    </row>
    <row r="60" spans="1:11" x14ac:dyDescent="0.3">
      <c r="A60" s="8" t="s">
        <v>816</v>
      </c>
      <c r="B60" s="8" t="s">
        <v>816</v>
      </c>
      <c r="C60" s="169">
        <v>-203.602</v>
      </c>
      <c r="D60" s="169">
        <v>-176.28399999999999</v>
      </c>
      <c r="E60" s="169">
        <v>-325.02600000000001</v>
      </c>
      <c r="F60" s="169">
        <v>-229.958</v>
      </c>
      <c r="G60" s="169">
        <v>-222.21</v>
      </c>
      <c r="H60" s="169">
        <v>-164.22399999999999</v>
      </c>
      <c r="I60" s="170">
        <v>-106.735</v>
      </c>
      <c r="J60" s="169"/>
      <c r="K60" s="169"/>
    </row>
    <row r="61" spans="1:11" x14ac:dyDescent="0.3">
      <c r="A61" s="8" t="s">
        <v>517</v>
      </c>
      <c r="B61" s="8" t="s">
        <v>517</v>
      </c>
      <c r="C61" s="169">
        <v>-227.81800000000001</v>
      </c>
      <c r="D61" s="169">
        <v>-202.71100000000001</v>
      </c>
      <c r="E61" s="169">
        <v>-352.31599999999997</v>
      </c>
      <c r="F61" s="169">
        <v>-258.399</v>
      </c>
      <c r="G61" s="169">
        <v>-249.92</v>
      </c>
      <c r="H61" s="169">
        <v>-185.095</v>
      </c>
      <c r="I61" s="170">
        <v>-120.77800000000001</v>
      </c>
      <c r="J61" s="169">
        <v>235.88200000000001</v>
      </c>
      <c r="K61" s="169">
        <v>306</v>
      </c>
    </row>
    <row r="62" spans="1:11" x14ac:dyDescent="0.3">
      <c r="A62" s="8" t="s">
        <v>817</v>
      </c>
      <c r="B62" s="8" t="s">
        <v>203</v>
      </c>
      <c r="C62" s="9">
        <v>59.686300000000003</v>
      </c>
      <c r="D62" s="9">
        <v>69.831299999999999</v>
      </c>
      <c r="E62" s="9">
        <v>70.938400000000001</v>
      </c>
      <c r="F62" s="9">
        <v>72.008700000000005</v>
      </c>
      <c r="G62" s="9">
        <v>73.646699999999996</v>
      </c>
      <c r="H62" s="9">
        <v>76.119</v>
      </c>
      <c r="I62" s="180">
        <v>76.868575353892197</v>
      </c>
      <c r="J62" s="9">
        <v>77.468000000000004</v>
      </c>
      <c r="K62" s="9">
        <v>77.349000000000004</v>
      </c>
    </row>
    <row r="63" spans="1:11" x14ac:dyDescent="0.3">
      <c r="A63" s="8" t="s">
        <v>818</v>
      </c>
      <c r="B63" s="8" t="s">
        <v>221</v>
      </c>
      <c r="C63" s="9">
        <v>-190.06219999999999</v>
      </c>
      <c r="D63" s="9">
        <v>-81.115200000000002</v>
      </c>
      <c r="E63" s="9">
        <v>-82.250500000000002</v>
      </c>
      <c r="F63" s="9">
        <v>-39.598599999999998</v>
      </c>
      <c r="G63" s="9">
        <v>-26.6614</v>
      </c>
      <c r="H63" s="9">
        <v>-14.8171</v>
      </c>
      <c r="I63" s="180">
        <v>-8.4659355756728196</v>
      </c>
      <c r="J63" s="9">
        <v>14.957109956780201</v>
      </c>
      <c r="K63" s="9">
        <v>16.099907820135599</v>
      </c>
    </row>
    <row r="64" spans="1:11" x14ac:dyDescent="0.3">
      <c r="A64" s="8" t="s">
        <v>819</v>
      </c>
      <c r="B64" s="8" t="s">
        <v>820</v>
      </c>
      <c r="C64" s="9">
        <v>-187.8981</v>
      </c>
      <c r="D64" s="9">
        <v>-81.975700000000003</v>
      </c>
      <c r="E64" s="9">
        <v>-82.600200000000001</v>
      </c>
      <c r="F64" s="9">
        <v>-37.788600000000002</v>
      </c>
      <c r="G64" s="9">
        <v>-24.399699999999999</v>
      </c>
      <c r="H64" s="9">
        <v>-12.01</v>
      </c>
      <c r="I64" s="180">
        <v>-5.87458530037466</v>
      </c>
      <c r="J64" s="9">
        <v>17.286069740072602</v>
      </c>
      <c r="K64" s="9">
        <v>17.725104070646001</v>
      </c>
    </row>
    <row r="65" spans="1:11" x14ac:dyDescent="0.3">
      <c r="A65" s="8" t="s">
        <v>821</v>
      </c>
      <c r="B65" s="8" t="s">
        <v>822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180">
        <v>0</v>
      </c>
      <c r="J65" s="9"/>
      <c r="K65" s="9"/>
    </row>
    <row r="66" spans="1:11" x14ac:dyDescent="0.3">
      <c r="A66" s="8" t="s">
        <v>823</v>
      </c>
      <c r="B66" s="8" t="s">
        <v>824</v>
      </c>
      <c r="C66" s="169">
        <v>0</v>
      </c>
      <c r="D66" s="169">
        <v>0</v>
      </c>
      <c r="E66" s="169">
        <v>0</v>
      </c>
      <c r="F66" s="169">
        <v>0</v>
      </c>
      <c r="G66" s="169">
        <v>0</v>
      </c>
      <c r="H66" s="169">
        <v>0</v>
      </c>
      <c r="I66" s="170">
        <v>0</v>
      </c>
      <c r="J66" s="169"/>
      <c r="K66" s="169"/>
    </row>
    <row r="67" spans="1:11" x14ac:dyDescent="0.3">
      <c r="A67" s="8" t="s">
        <v>825</v>
      </c>
      <c r="B67" s="8" t="s">
        <v>826</v>
      </c>
      <c r="C67" s="169">
        <v>2.2519999999999998</v>
      </c>
      <c r="D67" s="169">
        <v>7.923</v>
      </c>
      <c r="E67" s="169">
        <v>7.056</v>
      </c>
      <c r="F67" s="169">
        <v>7.867</v>
      </c>
      <c r="G67" s="169">
        <v>10.739000000000001</v>
      </c>
      <c r="H67" s="169">
        <v>20.649000000000001</v>
      </c>
      <c r="I67" s="170">
        <v>22.102</v>
      </c>
      <c r="J67" s="169"/>
      <c r="K67" s="169"/>
    </row>
    <row r="68" spans="1:11" x14ac:dyDescent="0.3">
      <c r="A68" s="8" t="s">
        <v>827</v>
      </c>
      <c r="B68" s="8" t="s">
        <v>828</v>
      </c>
      <c r="C68" s="169">
        <v>23.895</v>
      </c>
      <c r="D68" s="169">
        <v>25.561</v>
      </c>
      <c r="E68" s="169">
        <v>24.210999999999999</v>
      </c>
      <c r="F68" s="169">
        <v>25.25</v>
      </c>
      <c r="G68" s="169">
        <v>24.334</v>
      </c>
      <c r="H68" s="169">
        <v>21.957999999999998</v>
      </c>
      <c r="I68" s="170">
        <v>15.092000000000001</v>
      </c>
      <c r="J68" s="169"/>
      <c r="K68" s="169"/>
    </row>
    <row r="69" spans="1:11" x14ac:dyDescent="0.3">
      <c r="A69" s="5" t="s">
        <v>456</v>
      </c>
      <c r="B69" s="5"/>
      <c r="C69" s="5" t="s">
        <v>829</v>
      </c>
      <c r="D69" s="5"/>
      <c r="E69" s="5"/>
      <c r="F69" s="5"/>
      <c r="G69" s="5"/>
      <c r="H69" s="5"/>
      <c r="I69" s="5"/>
      <c r="J69" s="5"/>
      <c r="K69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EBB17-B4C0-4A68-9305-81407988050F}">
  <dimension ref="A1:H88"/>
  <sheetViews>
    <sheetView workbookViewId="0">
      <selection activeCell="C56" sqref="C56"/>
    </sheetView>
  </sheetViews>
  <sheetFormatPr defaultRowHeight="14.4" x14ac:dyDescent="0.3"/>
  <cols>
    <col min="1" max="1" width="35.109375" customWidth="1"/>
    <col min="2" max="2" width="0" hidden="1" customWidth="1"/>
    <col min="3" max="8" width="11.88671875" customWidth="1"/>
  </cols>
  <sheetData>
    <row r="1" spans="1:8" x14ac:dyDescent="0.3">
      <c r="A1" s="162"/>
      <c r="B1" s="162"/>
      <c r="C1" s="162"/>
      <c r="D1" s="162"/>
      <c r="E1" s="162"/>
      <c r="F1" s="162"/>
      <c r="G1" s="162"/>
      <c r="H1" s="162"/>
    </row>
    <row r="2" spans="1:8" ht="21" x14ac:dyDescent="0.3">
      <c r="A2" s="6" t="s">
        <v>831</v>
      </c>
      <c r="B2" s="6"/>
      <c r="C2" s="6"/>
      <c r="D2" s="6"/>
      <c r="E2" s="6"/>
      <c r="F2" s="6"/>
      <c r="G2" s="6"/>
      <c r="H2" s="6"/>
    </row>
    <row r="3" spans="1:8" x14ac:dyDescent="0.3">
      <c r="A3" s="163"/>
      <c r="B3" s="163"/>
      <c r="C3" s="163"/>
      <c r="D3" s="163"/>
      <c r="E3" s="163"/>
      <c r="F3" s="163"/>
      <c r="G3" s="163"/>
      <c r="H3" s="163"/>
    </row>
    <row r="4" spans="1:8" x14ac:dyDescent="0.3">
      <c r="A4" s="3" t="s">
        <v>711</v>
      </c>
      <c r="B4" s="3"/>
      <c r="C4" s="164" t="s">
        <v>712</v>
      </c>
      <c r="D4" s="164" t="s">
        <v>713</v>
      </c>
      <c r="E4" s="164" t="s">
        <v>714</v>
      </c>
      <c r="F4" s="164" t="s">
        <v>715</v>
      </c>
      <c r="G4" s="164" t="s">
        <v>716</v>
      </c>
      <c r="H4" s="164" t="s">
        <v>717</v>
      </c>
    </row>
    <row r="5" spans="1:8" x14ac:dyDescent="0.3">
      <c r="A5" s="7" t="s">
        <v>3</v>
      </c>
      <c r="B5" s="7"/>
      <c r="C5" s="165" t="s">
        <v>721</v>
      </c>
      <c r="D5" s="165" t="s">
        <v>722</v>
      </c>
      <c r="E5" s="165" t="s">
        <v>723</v>
      </c>
      <c r="F5" s="165" t="s">
        <v>724</v>
      </c>
      <c r="G5" s="165" t="s">
        <v>725</v>
      </c>
      <c r="H5" s="165" t="s">
        <v>726</v>
      </c>
    </row>
    <row r="6" spans="1:8" x14ac:dyDescent="0.3">
      <c r="A6" s="166" t="s">
        <v>545</v>
      </c>
      <c r="B6" s="174"/>
      <c r="C6" s="174"/>
      <c r="D6" s="174"/>
      <c r="E6" s="174"/>
      <c r="F6" s="174"/>
      <c r="G6" s="174"/>
      <c r="H6" s="174"/>
    </row>
    <row r="7" spans="1:8" x14ac:dyDescent="0.3">
      <c r="A7" s="8" t="s">
        <v>832</v>
      </c>
      <c r="B7" s="8" t="s">
        <v>833</v>
      </c>
      <c r="C7" s="169">
        <v>201.06899999999999</v>
      </c>
      <c r="D7" s="169">
        <v>399.887</v>
      </c>
      <c r="E7" s="169">
        <v>921.21799999999996</v>
      </c>
      <c r="F7" s="169">
        <v>689.86199999999997</v>
      </c>
      <c r="G7" s="169">
        <v>547.66200000000003</v>
      </c>
      <c r="H7" s="169">
        <v>694.798</v>
      </c>
    </row>
    <row r="8" spans="1:8" x14ac:dyDescent="0.3">
      <c r="A8" s="8" t="s">
        <v>834</v>
      </c>
      <c r="B8" s="8" t="s">
        <v>835</v>
      </c>
      <c r="C8" s="169">
        <v>201.06899999999999</v>
      </c>
      <c r="D8" s="169">
        <v>399.887</v>
      </c>
      <c r="E8" s="169">
        <v>921.21799999999996</v>
      </c>
      <c r="F8" s="169">
        <v>200.67</v>
      </c>
      <c r="G8" s="169">
        <v>135.536</v>
      </c>
      <c r="H8" s="169">
        <v>227.57599999999999</v>
      </c>
    </row>
    <row r="9" spans="1:8" x14ac:dyDescent="0.3">
      <c r="A9" s="8" t="s">
        <v>836</v>
      </c>
      <c r="B9" s="8" t="s">
        <v>837</v>
      </c>
      <c r="C9" s="169">
        <v>0</v>
      </c>
      <c r="D9" s="169">
        <v>0</v>
      </c>
      <c r="E9" s="169">
        <v>0</v>
      </c>
      <c r="F9" s="169">
        <v>489.19200000000001</v>
      </c>
      <c r="G9" s="169">
        <v>412.12599999999998</v>
      </c>
      <c r="H9" s="169">
        <v>467.22199999999998</v>
      </c>
    </row>
    <row r="10" spans="1:8" x14ac:dyDescent="0.3">
      <c r="A10" s="8" t="s">
        <v>838</v>
      </c>
      <c r="B10" s="8" t="s">
        <v>839</v>
      </c>
      <c r="C10" s="169">
        <v>34.213000000000001</v>
      </c>
      <c r="D10" s="169">
        <v>42.247999999999998</v>
      </c>
      <c r="E10" s="169">
        <v>81.986999999999995</v>
      </c>
      <c r="F10" s="169">
        <v>122.867</v>
      </c>
      <c r="G10" s="169">
        <v>161.82900000000001</v>
      </c>
      <c r="H10" s="169">
        <v>234.01599999999999</v>
      </c>
    </row>
    <row r="11" spans="1:8" x14ac:dyDescent="0.3">
      <c r="A11" s="8" t="s">
        <v>840</v>
      </c>
      <c r="B11" s="8" t="s">
        <v>841</v>
      </c>
      <c r="C11" s="169">
        <v>34.213000000000001</v>
      </c>
      <c r="D11" s="169">
        <v>42.247999999999998</v>
      </c>
      <c r="E11" s="169">
        <v>81.986999999999995</v>
      </c>
      <c r="F11" s="169">
        <v>122.867</v>
      </c>
      <c r="G11" s="169">
        <v>161.82900000000001</v>
      </c>
      <c r="H11" s="169">
        <v>234.01599999999999</v>
      </c>
    </row>
    <row r="12" spans="1:8" x14ac:dyDescent="0.3">
      <c r="A12" s="8" t="s">
        <v>842</v>
      </c>
      <c r="B12" s="8" t="s">
        <v>843</v>
      </c>
      <c r="C12" s="169" t="s">
        <v>830</v>
      </c>
      <c r="D12" s="169">
        <v>0</v>
      </c>
      <c r="E12" s="169">
        <v>0</v>
      </c>
      <c r="F12" s="169">
        <v>0</v>
      </c>
      <c r="G12" s="169">
        <v>0</v>
      </c>
      <c r="H12" s="169">
        <v>0</v>
      </c>
    </row>
    <row r="13" spans="1:8" x14ac:dyDescent="0.3">
      <c r="A13" s="8" t="s">
        <v>844</v>
      </c>
      <c r="B13" s="8" t="s">
        <v>845</v>
      </c>
      <c r="C13" s="169">
        <v>14.736000000000001</v>
      </c>
      <c r="D13" s="169">
        <v>26.059000000000001</v>
      </c>
      <c r="E13" s="169">
        <v>52.518999999999998</v>
      </c>
      <c r="F13" s="169">
        <v>82.046000000000006</v>
      </c>
      <c r="G13" s="169" t="s">
        <v>830</v>
      </c>
      <c r="H13" s="169">
        <v>119.32299999999999</v>
      </c>
    </row>
    <row r="14" spans="1:8" x14ac:dyDescent="0.3">
      <c r="A14" s="8" t="s">
        <v>846</v>
      </c>
      <c r="B14" s="8" t="s">
        <v>847</v>
      </c>
      <c r="C14" s="169">
        <v>16.515999999999998</v>
      </c>
      <c r="D14" s="169">
        <v>13.673999999999999</v>
      </c>
      <c r="E14" s="169">
        <v>33.067</v>
      </c>
      <c r="F14" s="169">
        <v>40.570999999999998</v>
      </c>
      <c r="G14" s="169">
        <v>22.238</v>
      </c>
      <c r="H14" s="169">
        <v>38.911000000000001</v>
      </c>
    </row>
    <row r="15" spans="1:8" x14ac:dyDescent="0.3">
      <c r="A15" s="8" t="s">
        <v>848</v>
      </c>
      <c r="B15" s="8" t="s">
        <v>849</v>
      </c>
      <c r="C15" s="169">
        <v>10.945</v>
      </c>
      <c r="D15" s="169">
        <v>9.3209999999999997</v>
      </c>
      <c r="E15" s="169">
        <v>11.375999999999999</v>
      </c>
      <c r="F15" s="169">
        <v>22.189</v>
      </c>
      <c r="G15" s="169">
        <v>155.22900000000001</v>
      </c>
      <c r="H15" s="169">
        <v>58.106000000000002</v>
      </c>
    </row>
    <row r="16" spans="1:8" x14ac:dyDescent="0.3">
      <c r="A16" s="8" t="s">
        <v>850</v>
      </c>
      <c r="B16" s="8" t="s">
        <v>851</v>
      </c>
      <c r="C16" s="169">
        <v>0</v>
      </c>
      <c r="D16" s="169">
        <v>0</v>
      </c>
      <c r="E16" s="169">
        <v>0</v>
      </c>
      <c r="F16" s="169">
        <v>0</v>
      </c>
      <c r="G16" s="169">
        <v>0</v>
      </c>
      <c r="H16" s="169">
        <v>0</v>
      </c>
    </row>
    <row r="17" spans="1:8" x14ac:dyDescent="0.3">
      <c r="A17" s="8" t="s">
        <v>852</v>
      </c>
      <c r="B17" s="8" t="s">
        <v>853</v>
      </c>
      <c r="C17" s="169">
        <v>10.945</v>
      </c>
      <c r="D17" s="169">
        <v>9.3209999999999997</v>
      </c>
      <c r="E17" s="169">
        <v>11.375999999999999</v>
      </c>
      <c r="F17" s="169">
        <v>22.189</v>
      </c>
      <c r="G17" s="169">
        <v>155.22900000000001</v>
      </c>
      <c r="H17" s="169">
        <v>58.106000000000002</v>
      </c>
    </row>
    <row r="18" spans="1:8" x14ac:dyDescent="0.3">
      <c r="A18" s="166" t="s">
        <v>533</v>
      </c>
      <c r="B18" s="166" t="s">
        <v>854</v>
      </c>
      <c r="C18" s="167">
        <v>277.47899999999998</v>
      </c>
      <c r="D18" s="167">
        <v>491.18900000000002</v>
      </c>
      <c r="E18" s="167">
        <v>1100.1669999999999</v>
      </c>
      <c r="F18" s="167">
        <v>957.53499999999997</v>
      </c>
      <c r="G18" s="167">
        <v>886.95799999999997</v>
      </c>
      <c r="H18" s="167">
        <v>1145.154</v>
      </c>
    </row>
    <row r="19" spans="1:8" x14ac:dyDescent="0.3">
      <c r="A19" s="8" t="s">
        <v>855</v>
      </c>
      <c r="B19" s="8" t="s">
        <v>856</v>
      </c>
      <c r="C19" s="169">
        <v>202.227</v>
      </c>
      <c r="D19" s="169">
        <v>190.77600000000001</v>
      </c>
      <c r="E19" s="169">
        <v>171.19900000000001</v>
      </c>
      <c r="F19" s="169">
        <v>171.90199999999999</v>
      </c>
      <c r="G19" s="169">
        <v>136.94300000000001</v>
      </c>
      <c r="H19" s="169">
        <v>123.015</v>
      </c>
    </row>
    <row r="20" spans="1:8" x14ac:dyDescent="0.3">
      <c r="A20" s="8" t="s">
        <v>857</v>
      </c>
      <c r="B20" s="8" t="s">
        <v>858</v>
      </c>
      <c r="C20" s="169">
        <v>208.60599999999999</v>
      </c>
      <c r="D20" s="169">
        <v>205.05099999999999</v>
      </c>
      <c r="E20" s="169">
        <v>193.01900000000001</v>
      </c>
      <c r="F20" s="169">
        <v>205.77</v>
      </c>
      <c r="G20" s="169">
        <v>188.666</v>
      </c>
      <c r="H20" s="169">
        <v>188.86799999999999</v>
      </c>
    </row>
    <row r="21" spans="1:8" x14ac:dyDescent="0.3">
      <c r="A21" s="8" t="s">
        <v>859</v>
      </c>
      <c r="B21" s="8" t="s">
        <v>860</v>
      </c>
      <c r="C21" s="169">
        <v>6.3789999999999996</v>
      </c>
      <c r="D21" s="169">
        <v>14.275</v>
      </c>
      <c r="E21" s="169">
        <v>21.82</v>
      </c>
      <c r="F21" s="169">
        <v>33.868000000000002</v>
      </c>
      <c r="G21" s="169">
        <v>51.722999999999999</v>
      </c>
      <c r="H21" s="169">
        <v>65.852999999999994</v>
      </c>
    </row>
    <row r="22" spans="1:8" x14ac:dyDescent="0.3">
      <c r="A22" s="8" t="s">
        <v>861</v>
      </c>
      <c r="B22" s="8" t="s">
        <v>862</v>
      </c>
      <c r="C22" s="169">
        <v>0</v>
      </c>
      <c r="D22" s="169">
        <v>0</v>
      </c>
      <c r="E22" s="169">
        <v>0</v>
      </c>
      <c r="F22" s="169">
        <v>113.101</v>
      </c>
      <c r="G22" s="169">
        <v>276.166</v>
      </c>
      <c r="H22" s="169">
        <v>282.65199999999999</v>
      </c>
    </row>
    <row r="23" spans="1:8" x14ac:dyDescent="0.3">
      <c r="A23" s="8" t="s">
        <v>863</v>
      </c>
      <c r="B23" s="8" t="s">
        <v>864</v>
      </c>
      <c r="C23" s="169" t="s">
        <v>830</v>
      </c>
      <c r="D23" s="169" t="s">
        <v>830</v>
      </c>
      <c r="E23" s="169" t="s">
        <v>830</v>
      </c>
      <c r="F23" s="169">
        <v>113.101</v>
      </c>
      <c r="G23" s="169">
        <v>276.166</v>
      </c>
      <c r="H23" s="169">
        <v>282.65199999999999</v>
      </c>
    </row>
    <row r="24" spans="1:8" x14ac:dyDescent="0.3">
      <c r="A24" s="8" t="s">
        <v>865</v>
      </c>
      <c r="B24" s="8" t="s">
        <v>866</v>
      </c>
      <c r="C24" s="169">
        <v>151.304</v>
      </c>
      <c r="D24" s="169">
        <v>204.66800000000001</v>
      </c>
      <c r="E24" s="169">
        <v>296.56299999999999</v>
      </c>
      <c r="F24" s="169">
        <v>374.47</v>
      </c>
      <c r="G24" s="169">
        <v>434.77800000000002</v>
      </c>
      <c r="H24" s="169">
        <v>473.48099999999999</v>
      </c>
    </row>
    <row r="25" spans="1:8" x14ac:dyDescent="0.3">
      <c r="A25" s="8" t="s">
        <v>867</v>
      </c>
      <c r="B25" s="8" t="s">
        <v>868</v>
      </c>
      <c r="C25" s="169">
        <v>0</v>
      </c>
      <c r="D25" s="169">
        <v>0</v>
      </c>
      <c r="E25" s="169">
        <v>0</v>
      </c>
      <c r="F25" s="169">
        <v>0</v>
      </c>
      <c r="G25" s="169">
        <v>0</v>
      </c>
      <c r="H25" s="169">
        <v>0</v>
      </c>
    </row>
    <row r="26" spans="1:8" x14ac:dyDescent="0.3">
      <c r="A26" s="171" t="s">
        <v>869</v>
      </c>
      <c r="B26" s="171" t="s">
        <v>870</v>
      </c>
      <c r="C26" s="172">
        <v>0</v>
      </c>
      <c r="D26" s="172">
        <v>0</v>
      </c>
      <c r="E26" s="172">
        <v>0</v>
      </c>
      <c r="F26" s="172">
        <v>0</v>
      </c>
      <c r="G26" s="172">
        <v>0</v>
      </c>
      <c r="H26" s="172">
        <v>0</v>
      </c>
    </row>
    <row r="27" spans="1:8" x14ac:dyDescent="0.3">
      <c r="A27" s="171" t="s">
        <v>871</v>
      </c>
      <c r="B27" s="171" t="s">
        <v>872</v>
      </c>
      <c r="C27" s="172">
        <v>0</v>
      </c>
      <c r="D27" s="172">
        <v>0</v>
      </c>
      <c r="E27" s="172">
        <v>0</v>
      </c>
      <c r="F27" s="172">
        <v>0</v>
      </c>
      <c r="G27" s="172">
        <v>0</v>
      </c>
      <c r="H27" s="172">
        <v>0</v>
      </c>
    </row>
    <row r="28" spans="1:8" x14ac:dyDescent="0.3">
      <c r="A28" s="8" t="s">
        <v>850</v>
      </c>
      <c r="B28" s="8" t="s">
        <v>873</v>
      </c>
      <c r="C28" s="169">
        <v>0</v>
      </c>
      <c r="D28" s="169">
        <v>0</v>
      </c>
      <c r="E28" s="169">
        <v>0</v>
      </c>
      <c r="F28" s="169">
        <v>0</v>
      </c>
      <c r="G28" s="169">
        <v>0</v>
      </c>
      <c r="H28" s="169">
        <v>0</v>
      </c>
    </row>
    <row r="29" spans="1:8" x14ac:dyDescent="0.3">
      <c r="A29" s="8" t="s">
        <v>874</v>
      </c>
      <c r="B29" s="8" t="s">
        <v>875</v>
      </c>
      <c r="C29" s="169">
        <v>151.304</v>
      </c>
      <c r="D29" s="169">
        <v>204.66800000000001</v>
      </c>
      <c r="E29" s="169">
        <v>296.56299999999999</v>
      </c>
      <c r="F29" s="169">
        <v>374.47</v>
      </c>
      <c r="G29" s="169">
        <v>434.77800000000002</v>
      </c>
      <c r="H29" s="169">
        <v>473.48099999999999</v>
      </c>
    </row>
    <row r="30" spans="1:8" x14ac:dyDescent="0.3">
      <c r="A30" s="166" t="s">
        <v>876</v>
      </c>
      <c r="B30" s="166" t="s">
        <v>877</v>
      </c>
      <c r="C30" s="167">
        <v>353.53100000000001</v>
      </c>
      <c r="D30" s="167">
        <v>395.44400000000002</v>
      </c>
      <c r="E30" s="167">
        <v>467.762</v>
      </c>
      <c r="F30" s="167">
        <v>659.47299999999996</v>
      </c>
      <c r="G30" s="167">
        <v>847.88699999999994</v>
      </c>
      <c r="H30" s="167">
        <v>879.14800000000002</v>
      </c>
    </row>
    <row r="31" spans="1:8" x14ac:dyDescent="0.3">
      <c r="A31" s="166" t="s">
        <v>545</v>
      </c>
      <c r="B31" s="166" t="s">
        <v>302</v>
      </c>
      <c r="C31" s="167">
        <v>631.01</v>
      </c>
      <c r="D31" s="167">
        <v>886.63300000000004</v>
      </c>
      <c r="E31" s="167">
        <v>1567.9290000000001</v>
      </c>
      <c r="F31" s="167">
        <v>1617.008</v>
      </c>
      <c r="G31" s="167">
        <v>1734.845</v>
      </c>
      <c r="H31" s="167">
        <v>2024.3019999999999</v>
      </c>
    </row>
    <row r="32" spans="1:8" x14ac:dyDescent="0.3">
      <c r="A32" s="166"/>
      <c r="B32" s="174"/>
      <c r="C32" s="174"/>
      <c r="D32" s="174"/>
      <c r="E32" s="174"/>
      <c r="F32" s="174"/>
      <c r="G32" s="174"/>
      <c r="H32" s="174"/>
    </row>
    <row r="33" spans="1:8" x14ac:dyDescent="0.3">
      <c r="A33" s="166" t="s">
        <v>546</v>
      </c>
      <c r="B33" s="174"/>
      <c r="C33" s="174"/>
      <c r="D33" s="174"/>
      <c r="E33" s="174"/>
      <c r="F33" s="174"/>
      <c r="G33" s="174"/>
      <c r="H33" s="174"/>
    </row>
    <row r="34" spans="1:8" x14ac:dyDescent="0.3">
      <c r="A34" s="8" t="s">
        <v>878</v>
      </c>
      <c r="B34" s="8" t="s">
        <v>879</v>
      </c>
      <c r="C34" s="169">
        <v>36.328000000000003</v>
      </c>
      <c r="D34" s="169">
        <v>46.52</v>
      </c>
      <c r="E34" s="169">
        <v>113.64700000000001</v>
      </c>
      <c r="F34" s="169">
        <v>119.998</v>
      </c>
      <c r="G34" s="169">
        <v>144.786</v>
      </c>
      <c r="H34" s="169">
        <v>182.43600000000001</v>
      </c>
    </row>
    <row r="35" spans="1:8" x14ac:dyDescent="0.3">
      <c r="A35" s="8" t="s">
        <v>880</v>
      </c>
      <c r="B35" s="8" t="s">
        <v>309</v>
      </c>
      <c r="C35" s="169">
        <v>16.466999999999999</v>
      </c>
      <c r="D35" s="169">
        <v>19.399999999999999</v>
      </c>
      <c r="E35" s="169">
        <v>54.704999999999998</v>
      </c>
      <c r="F35" s="169">
        <v>30.143999999999998</v>
      </c>
      <c r="G35" s="169">
        <v>46.280999999999999</v>
      </c>
      <c r="H35" s="169">
        <v>64.016999999999996</v>
      </c>
    </row>
    <row r="36" spans="1:8" x14ac:dyDescent="0.3">
      <c r="A36" s="8" t="s">
        <v>881</v>
      </c>
      <c r="B36" s="8" t="s">
        <v>882</v>
      </c>
      <c r="C36" s="169">
        <v>19.861000000000001</v>
      </c>
      <c r="D36" s="169">
        <v>27.12</v>
      </c>
      <c r="E36" s="169">
        <v>58.942</v>
      </c>
      <c r="F36" s="169">
        <v>89.853999999999999</v>
      </c>
      <c r="G36" s="169">
        <v>98.504999999999995</v>
      </c>
      <c r="H36" s="169">
        <v>118.419</v>
      </c>
    </row>
    <row r="37" spans="1:8" x14ac:dyDescent="0.3">
      <c r="A37" s="8" t="s">
        <v>883</v>
      </c>
      <c r="B37" s="8" t="s">
        <v>884</v>
      </c>
      <c r="C37" s="169">
        <v>17.532</v>
      </c>
      <c r="D37" s="169">
        <v>22.312999999999999</v>
      </c>
      <c r="E37" s="169">
        <v>21.446999999999999</v>
      </c>
      <c r="F37" s="169">
        <v>22.047000000000001</v>
      </c>
      <c r="G37" s="169">
        <v>20.661000000000001</v>
      </c>
      <c r="H37" s="169">
        <v>15.656000000000001</v>
      </c>
    </row>
    <row r="38" spans="1:8" x14ac:dyDescent="0.3">
      <c r="A38" s="8" t="s">
        <v>885</v>
      </c>
      <c r="B38" s="8" t="s">
        <v>886</v>
      </c>
      <c r="C38" s="169">
        <v>0</v>
      </c>
      <c r="D38" s="169">
        <v>0</v>
      </c>
      <c r="E38" s="169">
        <v>0</v>
      </c>
      <c r="F38" s="169">
        <v>0</v>
      </c>
      <c r="G38" s="169">
        <v>0</v>
      </c>
      <c r="H38" s="169">
        <v>0</v>
      </c>
    </row>
    <row r="39" spans="1:8" x14ac:dyDescent="0.3">
      <c r="A39" s="8" t="s">
        <v>887</v>
      </c>
      <c r="B39" s="8" t="s">
        <v>888</v>
      </c>
      <c r="C39" s="169">
        <v>17.532</v>
      </c>
      <c r="D39" s="169">
        <v>22.312999999999999</v>
      </c>
      <c r="E39" s="169">
        <v>21.446999999999999</v>
      </c>
      <c r="F39" s="169">
        <v>22.047000000000001</v>
      </c>
      <c r="G39" s="169">
        <v>20.661000000000001</v>
      </c>
      <c r="H39" s="169">
        <v>15.656000000000001</v>
      </c>
    </row>
    <row r="40" spans="1:8" x14ac:dyDescent="0.3">
      <c r="A40" s="171" t="s">
        <v>889</v>
      </c>
      <c r="B40" s="171" t="s">
        <v>890</v>
      </c>
      <c r="C40" s="172">
        <v>0</v>
      </c>
      <c r="D40" s="172">
        <v>0</v>
      </c>
      <c r="E40" s="172">
        <v>0</v>
      </c>
      <c r="F40" s="172">
        <v>0</v>
      </c>
      <c r="G40" s="172">
        <v>0</v>
      </c>
      <c r="H40" s="172">
        <v>0</v>
      </c>
    </row>
    <row r="41" spans="1:8" x14ac:dyDescent="0.3">
      <c r="A41" s="171" t="s">
        <v>891</v>
      </c>
      <c r="B41" s="171" t="s">
        <v>315</v>
      </c>
      <c r="C41" s="172">
        <v>17.532</v>
      </c>
      <c r="D41" s="172">
        <v>22.312999999999999</v>
      </c>
      <c r="E41" s="172">
        <v>21.446999999999999</v>
      </c>
      <c r="F41" s="172">
        <v>22.047000000000001</v>
      </c>
      <c r="G41" s="172">
        <v>20.661000000000001</v>
      </c>
      <c r="H41" s="172">
        <v>15.656000000000001</v>
      </c>
    </row>
    <row r="42" spans="1:8" x14ac:dyDescent="0.3">
      <c r="A42" s="8" t="s">
        <v>892</v>
      </c>
      <c r="B42" s="8" t="s">
        <v>893</v>
      </c>
      <c r="C42" s="169">
        <v>94.391000000000005</v>
      </c>
      <c r="D42" s="169">
        <v>143.10900000000001</v>
      </c>
      <c r="E42" s="169">
        <v>203.185</v>
      </c>
      <c r="F42" s="169">
        <v>300.113</v>
      </c>
      <c r="G42" s="169">
        <v>426.36900000000003</v>
      </c>
      <c r="H42" s="169">
        <v>563.25400000000002</v>
      </c>
    </row>
    <row r="43" spans="1:8" x14ac:dyDescent="0.3">
      <c r="A43" s="8" t="s">
        <v>894</v>
      </c>
      <c r="B43" s="8" t="s">
        <v>895</v>
      </c>
      <c r="C43" s="169">
        <v>94.391000000000005</v>
      </c>
      <c r="D43" s="169">
        <v>143.10900000000001</v>
      </c>
      <c r="E43" s="169">
        <v>203.185</v>
      </c>
      <c r="F43" s="169">
        <v>300.113</v>
      </c>
      <c r="G43" s="169">
        <v>426.36900000000003</v>
      </c>
      <c r="H43" s="169">
        <v>563.25400000000002</v>
      </c>
    </row>
    <row r="44" spans="1:8" x14ac:dyDescent="0.3">
      <c r="A44" s="8" t="s">
        <v>896</v>
      </c>
      <c r="B44" s="8" t="s">
        <v>897</v>
      </c>
      <c r="C44" s="169">
        <v>0</v>
      </c>
      <c r="D44" s="169">
        <v>0</v>
      </c>
      <c r="E44" s="169">
        <v>0</v>
      </c>
      <c r="F44" s="169">
        <v>0</v>
      </c>
      <c r="G44" s="169">
        <v>0</v>
      </c>
      <c r="H44" s="169">
        <v>0</v>
      </c>
    </row>
    <row r="45" spans="1:8" x14ac:dyDescent="0.3">
      <c r="A45" s="8" t="s">
        <v>898</v>
      </c>
      <c r="B45" s="8" t="s">
        <v>899</v>
      </c>
      <c r="C45" s="169">
        <v>0</v>
      </c>
      <c r="D45" s="169">
        <v>0</v>
      </c>
      <c r="E45" s="169">
        <v>0</v>
      </c>
      <c r="F45" s="169">
        <v>0</v>
      </c>
      <c r="G45" s="169">
        <v>0</v>
      </c>
      <c r="H45" s="169">
        <v>0</v>
      </c>
    </row>
    <row r="46" spans="1:8" x14ac:dyDescent="0.3">
      <c r="A46" s="166" t="s">
        <v>553</v>
      </c>
      <c r="B46" s="166" t="s">
        <v>900</v>
      </c>
      <c r="C46" s="167">
        <v>148.251</v>
      </c>
      <c r="D46" s="167">
        <v>211.94200000000001</v>
      </c>
      <c r="E46" s="167">
        <v>338.279</v>
      </c>
      <c r="F46" s="167">
        <v>442.15800000000002</v>
      </c>
      <c r="G46" s="167">
        <v>591.81600000000003</v>
      </c>
      <c r="H46" s="167">
        <v>761.346</v>
      </c>
    </row>
    <row r="47" spans="1:8" x14ac:dyDescent="0.3">
      <c r="A47" s="8" t="s">
        <v>901</v>
      </c>
      <c r="B47" s="8" t="s">
        <v>902</v>
      </c>
      <c r="C47" s="169">
        <v>166.78100000000001</v>
      </c>
      <c r="D47" s="169">
        <v>150.96100000000001</v>
      </c>
      <c r="E47" s="169">
        <v>123.51300000000001</v>
      </c>
      <c r="F47" s="169">
        <v>100.873</v>
      </c>
      <c r="G47" s="169">
        <v>78.83</v>
      </c>
      <c r="H47" s="169">
        <v>64.622</v>
      </c>
    </row>
    <row r="48" spans="1:8" x14ac:dyDescent="0.3">
      <c r="A48" s="8" t="s">
        <v>903</v>
      </c>
      <c r="B48" s="8" t="s">
        <v>904</v>
      </c>
      <c r="C48" s="169">
        <v>0</v>
      </c>
      <c r="D48" s="169">
        <v>0</v>
      </c>
      <c r="E48" s="169">
        <v>0</v>
      </c>
      <c r="F48" s="169">
        <v>0</v>
      </c>
      <c r="G48" s="169">
        <v>0</v>
      </c>
      <c r="H48" s="169">
        <v>0</v>
      </c>
    </row>
    <row r="49" spans="1:8" x14ac:dyDescent="0.3">
      <c r="A49" s="8" t="s">
        <v>905</v>
      </c>
      <c r="B49" s="8" t="s">
        <v>906</v>
      </c>
      <c r="C49" s="169">
        <v>166.78100000000001</v>
      </c>
      <c r="D49" s="169">
        <v>150.96100000000001</v>
      </c>
      <c r="E49" s="169">
        <v>123.51300000000001</v>
      </c>
      <c r="F49" s="169">
        <v>100.873</v>
      </c>
      <c r="G49" s="169">
        <v>78.83</v>
      </c>
      <c r="H49" s="169">
        <v>64.622</v>
      </c>
    </row>
    <row r="50" spans="1:8" x14ac:dyDescent="0.3">
      <c r="A50" s="171" t="s">
        <v>907</v>
      </c>
      <c r="B50" s="171" t="s">
        <v>908</v>
      </c>
      <c r="C50" s="172">
        <v>0</v>
      </c>
      <c r="D50" s="172">
        <v>0</v>
      </c>
      <c r="E50" s="172">
        <v>0</v>
      </c>
      <c r="F50" s="172">
        <v>0</v>
      </c>
      <c r="G50" s="172">
        <v>0</v>
      </c>
      <c r="H50" s="172">
        <v>0</v>
      </c>
    </row>
    <row r="51" spans="1:8" x14ac:dyDescent="0.3">
      <c r="A51" s="171" t="s">
        <v>909</v>
      </c>
      <c r="B51" s="171" t="s">
        <v>326</v>
      </c>
      <c r="C51" s="172">
        <v>166.78100000000001</v>
      </c>
      <c r="D51" s="172">
        <v>150.96100000000001</v>
      </c>
      <c r="E51" s="172">
        <v>123.51300000000001</v>
      </c>
      <c r="F51" s="172">
        <v>100.873</v>
      </c>
      <c r="G51" s="172">
        <v>78.83</v>
      </c>
      <c r="H51" s="172">
        <v>64.622</v>
      </c>
    </row>
    <row r="52" spans="1:8" x14ac:dyDescent="0.3">
      <c r="A52" s="8" t="s">
        <v>910</v>
      </c>
      <c r="B52" s="8" t="s">
        <v>911</v>
      </c>
      <c r="C52" s="169">
        <v>117.32299999999999</v>
      </c>
      <c r="D52" s="169">
        <v>107.46599999999999</v>
      </c>
      <c r="E52" s="169">
        <v>117.19</v>
      </c>
      <c r="F52" s="169">
        <v>135.958</v>
      </c>
      <c r="G52" s="169">
        <v>149.05199999999999</v>
      </c>
      <c r="H52" s="169">
        <v>129.13800000000001</v>
      </c>
    </row>
    <row r="53" spans="1:8" x14ac:dyDescent="0.3">
      <c r="A53" s="8" t="s">
        <v>912</v>
      </c>
      <c r="B53" s="8" t="s">
        <v>913</v>
      </c>
      <c r="C53" s="169">
        <v>0</v>
      </c>
      <c r="D53" s="169">
        <v>0</v>
      </c>
      <c r="E53" s="169">
        <v>0</v>
      </c>
      <c r="F53" s="169">
        <v>0</v>
      </c>
      <c r="G53" s="169">
        <v>0</v>
      </c>
      <c r="H53" s="169">
        <v>0</v>
      </c>
    </row>
    <row r="54" spans="1:8" x14ac:dyDescent="0.3">
      <c r="A54" s="8" t="s">
        <v>914</v>
      </c>
      <c r="B54" s="8" t="s">
        <v>915</v>
      </c>
      <c r="C54" s="169">
        <v>0</v>
      </c>
      <c r="D54" s="169">
        <v>0</v>
      </c>
      <c r="E54" s="169" t="s">
        <v>830</v>
      </c>
      <c r="F54" s="169" t="s">
        <v>830</v>
      </c>
      <c r="G54" s="169" t="s">
        <v>830</v>
      </c>
      <c r="H54" s="169">
        <v>0</v>
      </c>
    </row>
    <row r="55" spans="1:8" x14ac:dyDescent="0.3">
      <c r="A55" s="171" t="s">
        <v>916</v>
      </c>
      <c r="B55" s="171" t="s">
        <v>917</v>
      </c>
      <c r="C55" s="172">
        <v>0</v>
      </c>
      <c r="D55" s="172">
        <v>0</v>
      </c>
      <c r="E55" s="172" t="s">
        <v>830</v>
      </c>
      <c r="F55" s="172" t="s">
        <v>830</v>
      </c>
      <c r="G55" s="172" t="s">
        <v>830</v>
      </c>
      <c r="H55" s="172">
        <v>0</v>
      </c>
    </row>
    <row r="56" spans="1:8" x14ac:dyDescent="0.3">
      <c r="A56" s="171" t="s">
        <v>918</v>
      </c>
      <c r="B56" s="171" t="s">
        <v>919</v>
      </c>
      <c r="C56" s="172">
        <v>0</v>
      </c>
      <c r="D56" s="172">
        <v>0</v>
      </c>
      <c r="E56" s="172" t="s">
        <v>830</v>
      </c>
      <c r="F56" s="172" t="s">
        <v>830</v>
      </c>
      <c r="G56" s="172" t="s">
        <v>830</v>
      </c>
      <c r="H56" s="172">
        <v>0</v>
      </c>
    </row>
    <row r="57" spans="1:8" x14ac:dyDescent="0.3">
      <c r="A57" s="8" t="s">
        <v>894</v>
      </c>
      <c r="B57" s="8" t="s">
        <v>920</v>
      </c>
      <c r="C57" s="169">
        <v>116.679</v>
      </c>
      <c r="D57" s="169">
        <v>106.46299999999999</v>
      </c>
      <c r="E57" s="169">
        <v>110.501</v>
      </c>
      <c r="F57" s="169">
        <v>126.452</v>
      </c>
      <c r="G57" s="169">
        <v>139.11699999999999</v>
      </c>
      <c r="H57" s="169">
        <v>122.51600000000001</v>
      </c>
    </row>
    <row r="58" spans="1:8" x14ac:dyDescent="0.3">
      <c r="A58" s="8" t="s">
        <v>896</v>
      </c>
      <c r="B58" s="8" t="s">
        <v>921</v>
      </c>
      <c r="C58" s="169">
        <v>0</v>
      </c>
      <c r="D58" s="169">
        <v>0</v>
      </c>
      <c r="E58" s="169">
        <v>0</v>
      </c>
      <c r="F58" s="169">
        <v>0</v>
      </c>
      <c r="G58" s="169">
        <v>0</v>
      </c>
      <c r="H58" s="169">
        <v>0</v>
      </c>
    </row>
    <row r="59" spans="1:8" x14ac:dyDescent="0.3">
      <c r="A59" s="8" t="s">
        <v>922</v>
      </c>
      <c r="B59" s="8" t="s">
        <v>923</v>
      </c>
      <c r="C59" s="169">
        <v>0.64400000000000002</v>
      </c>
      <c r="D59" s="169">
        <v>1.0029999999999999</v>
      </c>
      <c r="E59" s="169">
        <v>6.6890000000000001</v>
      </c>
      <c r="F59" s="169">
        <v>9.5060000000000002</v>
      </c>
      <c r="G59" s="169">
        <v>9.9350000000000005</v>
      </c>
      <c r="H59" s="169">
        <v>6.6219999999999999</v>
      </c>
    </row>
    <row r="60" spans="1:8" x14ac:dyDescent="0.3">
      <c r="A60" s="166" t="s">
        <v>924</v>
      </c>
      <c r="B60" s="166" t="s">
        <v>925</v>
      </c>
      <c r="C60" s="167">
        <v>284.10399999999998</v>
      </c>
      <c r="D60" s="167">
        <v>258.42700000000002</v>
      </c>
      <c r="E60" s="167">
        <v>240.703</v>
      </c>
      <c r="F60" s="167">
        <v>236.83099999999999</v>
      </c>
      <c r="G60" s="167">
        <v>227.88200000000001</v>
      </c>
      <c r="H60" s="167">
        <v>193.76</v>
      </c>
    </row>
    <row r="61" spans="1:8" x14ac:dyDescent="0.3">
      <c r="A61" s="166" t="s">
        <v>561</v>
      </c>
      <c r="B61" s="166" t="s">
        <v>926</v>
      </c>
      <c r="C61" s="167">
        <v>432.35500000000002</v>
      </c>
      <c r="D61" s="167">
        <v>470.36900000000003</v>
      </c>
      <c r="E61" s="167">
        <v>578.98199999999997</v>
      </c>
      <c r="F61" s="167">
        <v>678.98900000000003</v>
      </c>
      <c r="G61" s="167">
        <v>819.69799999999998</v>
      </c>
      <c r="H61" s="167">
        <v>955.10599999999999</v>
      </c>
    </row>
    <row r="62" spans="1:8" x14ac:dyDescent="0.3">
      <c r="A62" s="8" t="s">
        <v>927</v>
      </c>
      <c r="B62" s="8" t="s">
        <v>928</v>
      </c>
      <c r="C62" s="169">
        <v>539.99900000000002</v>
      </c>
      <c r="D62" s="169">
        <v>939.49699999999996</v>
      </c>
      <c r="E62" s="169">
        <v>0</v>
      </c>
      <c r="F62" s="169">
        <v>0</v>
      </c>
      <c r="G62" s="169">
        <v>0</v>
      </c>
      <c r="H62" s="169">
        <v>0</v>
      </c>
    </row>
    <row r="63" spans="1:8" x14ac:dyDescent="0.3">
      <c r="A63" s="8" t="s">
        <v>929</v>
      </c>
      <c r="B63" s="8" t="s">
        <v>930</v>
      </c>
      <c r="C63" s="169">
        <v>4.75</v>
      </c>
      <c r="D63" s="169">
        <v>42.692999999999998</v>
      </c>
      <c r="E63" s="169">
        <v>1909.9929999999999</v>
      </c>
      <c r="F63" s="169">
        <v>2107.0430000000001</v>
      </c>
      <c r="G63" s="169">
        <v>2368.6289999999999</v>
      </c>
      <c r="H63" s="169">
        <v>2680.047</v>
      </c>
    </row>
    <row r="64" spans="1:8" x14ac:dyDescent="0.3">
      <c r="A64" s="8" t="s">
        <v>931</v>
      </c>
      <c r="B64" s="8" t="s">
        <v>932</v>
      </c>
      <c r="C64" s="169">
        <v>2.41E-2</v>
      </c>
      <c r="D64" s="169">
        <v>1E-3</v>
      </c>
      <c r="E64" s="169">
        <v>2.9000000000000001E-2</v>
      </c>
      <c r="F64" s="169">
        <v>0.03</v>
      </c>
      <c r="G64" s="169">
        <v>3.2000000000000001E-2</v>
      </c>
      <c r="H64" s="169">
        <v>3.5000000000000003E-2</v>
      </c>
    </row>
    <row r="65" spans="1:8" x14ac:dyDescent="0.3">
      <c r="A65" s="8" t="s">
        <v>933</v>
      </c>
      <c r="B65" s="8" t="s">
        <v>343</v>
      </c>
      <c r="C65" s="169">
        <v>4.7259000000000002</v>
      </c>
      <c r="D65" s="169">
        <v>42.692</v>
      </c>
      <c r="E65" s="169">
        <v>1909.9639999999999</v>
      </c>
      <c r="F65" s="169">
        <v>2107.0129999999999</v>
      </c>
      <c r="G65" s="169">
        <v>2368.5970000000002</v>
      </c>
      <c r="H65" s="169">
        <v>2680.0120000000002</v>
      </c>
    </row>
    <row r="66" spans="1:8" x14ac:dyDescent="0.3">
      <c r="A66" s="8" t="s">
        <v>934</v>
      </c>
      <c r="B66" s="8" t="s">
        <v>935</v>
      </c>
      <c r="C66" s="169">
        <v>0</v>
      </c>
      <c r="D66" s="169">
        <v>0</v>
      </c>
      <c r="E66" s="169">
        <v>0</v>
      </c>
      <c r="F66" s="169">
        <v>0</v>
      </c>
      <c r="G66" s="169">
        <v>0</v>
      </c>
      <c r="H66" s="169">
        <v>0</v>
      </c>
    </row>
    <row r="67" spans="1:8" x14ac:dyDescent="0.3">
      <c r="A67" s="8" t="s">
        <v>936</v>
      </c>
      <c r="B67" s="8" t="s">
        <v>937</v>
      </c>
      <c r="C67" s="169">
        <v>-346.09399999999999</v>
      </c>
      <c r="D67" s="169">
        <v>-565.92600000000004</v>
      </c>
      <c r="E67" s="169">
        <v>-920.95</v>
      </c>
      <c r="F67" s="169">
        <v>-1168.3720000000001</v>
      </c>
      <c r="G67" s="169">
        <v>-1455.098</v>
      </c>
      <c r="H67" s="169">
        <v>-1610.0050000000001</v>
      </c>
    </row>
    <row r="68" spans="1:8" x14ac:dyDescent="0.3">
      <c r="A68" s="8" t="s">
        <v>938</v>
      </c>
      <c r="B68" s="8" t="s">
        <v>939</v>
      </c>
      <c r="C68" s="169">
        <v>0</v>
      </c>
      <c r="D68" s="169">
        <v>0</v>
      </c>
      <c r="E68" s="169">
        <v>-9.6000000000000002E-2</v>
      </c>
      <c r="F68" s="169">
        <v>-0.65200000000000002</v>
      </c>
      <c r="G68" s="169">
        <v>1.6160000000000001</v>
      </c>
      <c r="H68" s="169">
        <v>-0.84599999999999997</v>
      </c>
    </row>
    <row r="69" spans="1:8" x14ac:dyDescent="0.3">
      <c r="A69" s="166" t="s">
        <v>940</v>
      </c>
      <c r="B69" s="166" t="s">
        <v>941</v>
      </c>
      <c r="C69" s="167">
        <v>198.655</v>
      </c>
      <c r="D69" s="167">
        <v>416.26400000000001</v>
      </c>
      <c r="E69" s="167">
        <v>988.947</v>
      </c>
      <c r="F69" s="167">
        <v>938.01900000000001</v>
      </c>
      <c r="G69" s="167">
        <v>915.14700000000005</v>
      </c>
      <c r="H69" s="167">
        <v>1069.1959999999999</v>
      </c>
    </row>
    <row r="70" spans="1:8" x14ac:dyDescent="0.3">
      <c r="A70" s="8" t="s">
        <v>942</v>
      </c>
      <c r="B70" s="8" t="s">
        <v>943</v>
      </c>
      <c r="C70" s="169">
        <v>0</v>
      </c>
      <c r="D70" s="169">
        <v>0</v>
      </c>
      <c r="E70" s="169">
        <v>0</v>
      </c>
      <c r="F70" s="169">
        <v>0</v>
      </c>
      <c r="G70" s="169">
        <v>0</v>
      </c>
      <c r="H70" s="169">
        <v>0</v>
      </c>
    </row>
    <row r="71" spans="1:8" x14ac:dyDescent="0.3">
      <c r="A71" s="166" t="s">
        <v>570</v>
      </c>
      <c r="B71" s="166" t="s">
        <v>944</v>
      </c>
      <c r="C71" s="167">
        <v>198.655</v>
      </c>
      <c r="D71" s="167">
        <v>416.26400000000001</v>
      </c>
      <c r="E71" s="167">
        <v>988.947</v>
      </c>
      <c r="F71" s="167">
        <v>938.01900000000001</v>
      </c>
      <c r="G71" s="167">
        <v>915.14700000000005</v>
      </c>
      <c r="H71" s="167">
        <v>1069.1959999999999</v>
      </c>
    </row>
    <row r="72" spans="1:8" x14ac:dyDescent="0.3">
      <c r="A72" s="166" t="s">
        <v>945</v>
      </c>
      <c r="B72" s="166" t="s">
        <v>946</v>
      </c>
      <c r="C72" s="167">
        <v>631.01</v>
      </c>
      <c r="D72" s="167">
        <v>886.63300000000004</v>
      </c>
      <c r="E72" s="167">
        <v>1567.9290000000001</v>
      </c>
      <c r="F72" s="167">
        <v>1617.008</v>
      </c>
      <c r="G72" s="167">
        <v>1734.845</v>
      </c>
      <c r="H72" s="167">
        <v>2024.3019999999999</v>
      </c>
    </row>
    <row r="73" spans="1:8" x14ac:dyDescent="0.3">
      <c r="A73" s="166"/>
      <c r="B73" s="174"/>
      <c r="C73" s="174"/>
      <c r="D73" s="174"/>
      <c r="E73" s="174"/>
      <c r="F73" s="174"/>
      <c r="G73" s="174"/>
      <c r="H73" s="174"/>
    </row>
    <row r="74" spans="1:8" x14ac:dyDescent="0.3">
      <c r="A74" s="166" t="s">
        <v>810</v>
      </c>
      <c r="B74" s="174"/>
      <c r="C74" s="174"/>
      <c r="D74" s="174"/>
      <c r="E74" s="174"/>
      <c r="F74" s="174"/>
      <c r="G74" s="174"/>
      <c r="H74" s="174"/>
    </row>
    <row r="75" spans="1:8" x14ac:dyDescent="0.3">
      <c r="A75" s="8" t="s">
        <v>811</v>
      </c>
      <c r="B75" s="8" t="s">
        <v>812</v>
      </c>
      <c r="C75" s="178" t="s">
        <v>813</v>
      </c>
      <c r="D75" s="178" t="s">
        <v>813</v>
      </c>
      <c r="E75" s="178" t="s">
        <v>813</v>
      </c>
      <c r="F75" s="178" t="s">
        <v>813</v>
      </c>
      <c r="G75" s="178" t="s">
        <v>813</v>
      </c>
      <c r="H75" s="178" t="s">
        <v>813</v>
      </c>
    </row>
    <row r="76" spans="1:8" x14ac:dyDescent="0.3">
      <c r="A76" s="8" t="s">
        <v>947</v>
      </c>
      <c r="B76" s="8" t="s">
        <v>948</v>
      </c>
      <c r="C76" s="169">
        <v>241.21299999999999</v>
      </c>
      <c r="D76" s="169">
        <v>245.9855</v>
      </c>
      <c r="E76" s="169">
        <v>505.47620000000001</v>
      </c>
      <c r="F76" s="169">
        <v>524.16020000000003</v>
      </c>
      <c r="G76" s="169">
        <v>545.97349999999994</v>
      </c>
      <c r="H76" s="169">
        <v>565.7192</v>
      </c>
    </row>
    <row r="77" spans="1:8" x14ac:dyDescent="0.3">
      <c r="A77" s="8" t="s">
        <v>949</v>
      </c>
      <c r="B77" s="8" t="s">
        <v>950</v>
      </c>
      <c r="C77" s="169">
        <v>0</v>
      </c>
      <c r="D77" s="169">
        <v>0</v>
      </c>
      <c r="E77" s="169">
        <v>0</v>
      </c>
      <c r="F77" s="169">
        <v>0</v>
      </c>
      <c r="G77" s="169">
        <v>0</v>
      </c>
      <c r="H77" s="169">
        <v>0</v>
      </c>
    </row>
    <row r="78" spans="1:8" x14ac:dyDescent="0.3">
      <c r="A78" s="8" t="s">
        <v>951</v>
      </c>
      <c r="B78" s="8" t="s">
        <v>952</v>
      </c>
      <c r="C78" s="169">
        <v>0</v>
      </c>
      <c r="D78" s="169">
        <v>0</v>
      </c>
      <c r="E78" s="169">
        <v>0</v>
      </c>
      <c r="F78" s="169">
        <v>0</v>
      </c>
      <c r="G78" s="169">
        <v>0</v>
      </c>
      <c r="H78" s="169">
        <v>0</v>
      </c>
    </row>
    <row r="79" spans="1:8" x14ac:dyDescent="0.3">
      <c r="A79" s="8" t="s">
        <v>953</v>
      </c>
      <c r="B79" s="8" t="s">
        <v>954</v>
      </c>
      <c r="C79" s="169" t="s">
        <v>830</v>
      </c>
      <c r="D79" s="169">
        <v>189.76599999999999</v>
      </c>
      <c r="E79" s="169">
        <v>172.29499999999999</v>
      </c>
      <c r="F79" s="169">
        <v>144.577</v>
      </c>
      <c r="G79" s="169">
        <v>118.679</v>
      </c>
      <c r="H79" s="169">
        <v>92.986999999999995</v>
      </c>
    </row>
    <row r="80" spans="1:8" x14ac:dyDescent="0.3">
      <c r="A80" s="8" t="s">
        <v>955</v>
      </c>
      <c r="B80" s="8" t="s">
        <v>956</v>
      </c>
      <c r="C80" s="169">
        <v>0</v>
      </c>
      <c r="D80" s="169">
        <v>0</v>
      </c>
      <c r="E80" s="169">
        <v>0</v>
      </c>
      <c r="F80" s="169">
        <v>0</v>
      </c>
      <c r="G80" s="169">
        <v>0</v>
      </c>
      <c r="H80" s="169">
        <v>0</v>
      </c>
    </row>
    <row r="81" spans="1:8" x14ac:dyDescent="0.3">
      <c r="A81" s="8" t="s">
        <v>957</v>
      </c>
      <c r="B81" s="8" t="s">
        <v>958</v>
      </c>
      <c r="C81" s="169">
        <v>2.7646999999999999</v>
      </c>
      <c r="D81" s="169">
        <v>3.0512999999999999</v>
      </c>
      <c r="E81" s="169" t="s">
        <v>830</v>
      </c>
      <c r="F81" s="169" t="s">
        <v>830</v>
      </c>
      <c r="G81" s="169">
        <v>0</v>
      </c>
      <c r="H81" s="169">
        <v>0</v>
      </c>
    </row>
    <row r="82" spans="1:8" x14ac:dyDescent="0.3">
      <c r="A82" s="8" t="s">
        <v>959</v>
      </c>
      <c r="B82" s="8" t="s">
        <v>960</v>
      </c>
      <c r="C82" s="169">
        <v>13.9771</v>
      </c>
      <c r="D82" s="169">
        <v>11.6713</v>
      </c>
      <c r="E82" s="169">
        <v>8.6280999999999999</v>
      </c>
      <c r="F82" s="169">
        <v>6.9275000000000002</v>
      </c>
      <c r="G82" s="169">
        <v>6.1658999999999997</v>
      </c>
      <c r="H82" s="169">
        <v>5.6325000000000003</v>
      </c>
    </row>
    <row r="83" spans="1:8" x14ac:dyDescent="0.3">
      <c r="A83" s="8" t="s">
        <v>961</v>
      </c>
      <c r="B83" s="8" t="s">
        <v>962</v>
      </c>
      <c r="C83" s="169">
        <v>-16.756</v>
      </c>
      <c r="D83" s="169">
        <v>-226.613</v>
      </c>
      <c r="E83" s="169">
        <v>-776.25800000000004</v>
      </c>
      <c r="F83" s="169">
        <v>-566.94200000000001</v>
      </c>
      <c r="G83" s="169">
        <v>-448.17099999999999</v>
      </c>
      <c r="H83" s="169">
        <v>-614.52</v>
      </c>
    </row>
    <row r="84" spans="1:8" x14ac:dyDescent="0.3">
      <c r="A84" s="8" t="s">
        <v>963</v>
      </c>
      <c r="B84" s="8" t="s">
        <v>964</v>
      </c>
      <c r="C84" s="9">
        <v>-8.4346999999999994</v>
      </c>
      <c r="D84" s="9">
        <v>-54.439700000000002</v>
      </c>
      <c r="E84" s="9">
        <v>-78.493399999999994</v>
      </c>
      <c r="F84" s="9">
        <v>-60.440399999999997</v>
      </c>
      <c r="G84" s="9">
        <v>-48.9726</v>
      </c>
      <c r="H84" s="9">
        <v>-57.475000000000001</v>
      </c>
    </row>
    <row r="85" spans="1:8" x14ac:dyDescent="0.3">
      <c r="A85" s="8" t="s">
        <v>965</v>
      </c>
      <c r="B85" s="8" t="s">
        <v>966</v>
      </c>
      <c r="C85" s="9">
        <v>-54.094900000000003</v>
      </c>
      <c r="D85" s="9">
        <v>-59.013500000000001</v>
      </c>
      <c r="E85" s="9">
        <v>63.073500000000003</v>
      </c>
      <c r="F85" s="9">
        <v>58.009500000000003</v>
      </c>
      <c r="G85" s="9">
        <v>52.750900000000001</v>
      </c>
      <c r="H85" s="9">
        <v>52.817999999999998</v>
      </c>
    </row>
    <row r="86" spans="1:8" x14ac:dyDescent="0.3">
      <c r="A86" s="8" t="s">
        <v>967</v>
      </c>
      <c r="B86" s="8" t="s">
        <v>115</v>
      </c>
      <c r="C86" s="9">
        <v>1.8716999999999999</v>
      </c>
      <c r="D86" s="9">
        <v>2.3176000000000001</v>
      </c>
      <c r="E86" s="9">
        <v>3.2522000000000002</v>
      </c>
      <c r="F86" s="9">
        <v>2.1656</v>
      </c>
      <c r="G86" s="9">
        <v>1.4986999999999999</v>
      </c>
      <c r="H86" s="9">
        <v>1.5041</v>
      </c>
    </row>
    <row r="87" spans="1:8" x14ac:dyDescent="0.3">
      <c r="A87" s="8" t="s">
        <v>968</v>
      </c>
      <c r="B87" s="8" t="s">
        <v>969</v>
      </c>
      <c r="C87" s="9" t="s">
        <v>830</v>
      </c>
      <c r="D87" s="9">
        <v>38.588700000000003</v>
      </c>
      <c r="E87" s="9">
        <v>27.3828</v>
      </c>
      <c r="F87" s="9">
        <v>49.300899999999999</v>
      </c>
      <c r="G87" s="9">
        <v>41.5139</v>
      </c>
      <c r="H87" s="9">
        <v>31.248899999999999</v>
      </c>
    </row>
    <row r="88" spans="1:8" x14ac:dyDescent="0.3">
      <c r="A88" s="5" t="s">
        <v>456</v>
      </c>
      <c r="B88" s="5"/>
      <c r="C88" s="5" t="s">
        <v>829</v>
      </c>
      <c r="D88" s="5"/>
      <c r="E88" s="5"/>
      <c r="F88" s="5"/>
      <c r="G88" s="5"/>
      <c r="H88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60BF1-C92D-4FC0-B250-DD64D63D09F9}">
  <dimension ref="A1:I64"/>
  <sheetViews>
    <sheetView workbookViewId="0">
      <selection activeCell="M31" sqref="M31"/>
    </sheetView>
  </sheetViews>
  <sheetFormatPr defaultRowHeight="14.4" x14ac:dyDescent="0.3"/>
  <cols>
    <col min="1" max="1" width="35.109375" customWidth="1"/>
    <col min="2" max="2" width="0" hidden="1" customWidth="1"/>
    <col min="3" max="9" width="11.88671875" customWidth="1"/>
  </cols>
  <sheetData>
    <row r="1" spans="1:9" x14ac:dyDescent="0.3">
      <c r="A1" s="162"/>
      <c r="B1" s="162"/>
      <c r="C1" s="162"/>
      <c r="D1" s="162"/>
      <c r="E1" s="162"/>
      <c r="F1" s="162"/>
      <c r="G1" s="162"/>
      <c r="H1" s="162"/>
      <c r="I1" s="162"/>
    </row>
    <row r="2" spans="1:9" ht="21" x14ac:dyDescent="0.3">
      <c r="A2" s="6" t="s">
        <v>831</v>
      </c>
      <c r="B2" s="6"/>
      <c r="C2" s="6"/>
      <c r="D2" s="6"/>
      <c r="E2" s="6"/>
      <c r="F2" s="6"/>
      <c r="G2" s="6"/>
      <c r="H2" s="6"/>
      <c r="I2" s="6"/>
    </row>
    <row r="3" spans="1:9" x14ac:dyDescent="0.3">
      <c r="A3" s="163"/>
      <c r="B3" s="163"/>
      <c r="C3" s="163"/>
      <c r="D3" s="163"/>
      <c r="E3" s="163"/>
      <c r="F3" s="163"/>
      <c r="G3" s="163"/>
      <c r="H3" s="163"/>
      <c r="I3" s="163"/>
    </row>
    <row r="4" spans="1:9" x14ac:dyDescent="0.3">
      <c r="A4" s="3" t="s">
        <v>711</v>
      </c>
      <c r="B4" s="3"/>
      <c r="C4" s="164" t="s">
        <v>712</v>
      </c>
      <c r="D4" s="164" t="s">
        <v>713</v>
      </c>
      <c r="E4" s="164" t="s">
        <v>714</v>
      </c>
      <c r="F4" s="164" t="s">
        <v>715</v>
      </c>
      <c r="G4" s="164" t="s">
        <v>716</v>
      </c>
      <c r="H4" s="164" t="s">
        <v>717</v>
      </c>
      <c r="I4" s="164" t="s">
        <v>718</v>
      </c>
    </row>
    <row r="5" spans="1:9" x14ac:dyDescent="0.3">
      <c r="A5" s="7" t="s">
        <v>3</v>
      </c>
      <c r="B5" s="7"/>
      <c r="C5" s="165" t="s">
        <v>721</v>
      </c>
      <c r="D5" s="165" t="s">
        <v>722</v>
      </c>
      <c r="E5" s="165" t="s">
        <v>723</v>
      </c>
      <c r="F5" s="165" t="s">
        <v>724</v>
      </c>
      <c r="G5" s="165" t="s">
        <v>725</v>
      </c>
      <c r="H5" s="165" t="s">
        <v>726</v>
      </c>
      <c r="I5" s="165" t="s">
        <v>727</v>
      </c>
    </row>
    <row r="6" spans="1:9" x14ac:dyDescent="0.3">
      <c r="A6" s="166" t="s">
        <v>970</v>
      </c>
      <c r="B6" s="174"/>
      <c r="C6" s="174"/>
      <c r="D6" s="174"/>
      <c r="E6" s="174"/>
      <c r="F6" s="174"/>
      <c r="G6" s="174"/>
      <c r="H6" s="174"/>
      <c r="I6" s="175"/>
    </row>
    <row r="7" spans="1:9" x14ac:dyDescent="0.3">
      <c r="A7" s="8" t="s">
        <v>971</v>
      </c>
      <c r="B7" s="8" t="s">
        <v>972</v>
      </c>
      <c r="C7" s="169">
        <v>-225.22399999999999</v>
      </c>
      <c r="D7" s="169">
        <v>-210.208</v>
      </c>
      <c r="E7" s="169">
        <v>-355.024</v>
      </c>
      <c r="F7" s="169">
        <v>-247.422</v>
      </c>
      <c r="G7" s="169">
        <v>-286.726</v>
      </c>
      <c r="H7" s="169">
        <v>-154.90700000000001</v>
      </c>
      <c r="I7" s="170">
        <v>-87.929000000000002</v>
      </c>
    </row>
    <row r="8" spans="1:9" x14ac:dyDescent="0.3">
      <c r="A8" s="8" t="s">
        <v>973</v>
      </c>
      <c r="B8" s="8" t="s">
        <v>369</v>
      </c>
      <c r="C8" s="169">
        <v>4.32</v>
      </c>
      <c r="D8" s="169">
        <v>10.738</v>
      </c>
      <c r="E8" s="169">
        <v>10.388</v>
      </c>
      <c r="F8" s="169">
        <v>11.768000000000001</v>
      </c>
      <c r="G8" s="169">
        <v>15.526</v>
      </c>
      <c r="H8" s="169">
        <v>20.649000000000001</v>
      </c>
      <c r="I8" s="170">
        <v>22.102</v>
      </c>
    </row>
    <row r="9" spans="1:9" x14ac:dyDescent="0.3">
      <c r="A9" s="8" t="s">
        <v>974</v>
      </c>
      <c r="B9" s="8" t="s">
        <v>975</v>
      </c>
      <c r="C9" s="169">
        <v>-19.654</v>
      </c>
      <c r="D9" s="169">
        <v>-14.036</v>
      </c>
      <c r="E9" s="169">
        <v>193.38900000000001</v>
      </c>
      <c r="F9" s="169">
        <v>155.61600000000001</v>
      </c>
      <c r="G9" s="169">
        <v>208.92599999999999</v>
      </c>
      <c r="H9" s="169">
        <v>240.643</v>
      </c>
      <c r="I9" s="170">
        <v>257.63200000000001</v>
      </c>
    </row>
    <row r="10" spans="1:9" x14ac:dyDescent="0.3">
      <c r="A10" s="8" t="s">
        <v>976</v>
      </c>
      <c r="B10" s="8" t="s">
        <v>371</v>
      </c>
      <c r="C10" s="169">
        <v>2.8679999999999999</v>
      </c>
      <c r="D10" s="169">
        <v>25.564</v>
      </c>
      <c r="E10" s="169">
        <v>228.72300000000001</v>
      </c>
      <c r="F10" s="169">
        <v>177.47300000000001</v>
      </c>
      <c r="G10" s="169">
        <v>237.08199999999999</v>
      </c>
      <c r="H10" s="169">
        <v>277.87</v>
      </c>
      <c r="I10" s="170">
        <v>299.82400000000001</v>
      </c>
    </row>
    <row r="11" spans="1:9" x14ac:dyDescent="0.3">
      <c r="A11" s="8" t="s">
        <v>977</v>
      </c>
      <c r="B11" s="8" t="s">
        <v>978</v>
      </c>
      <c r="C11" s="169">
        <v>-22.521999999999998</v>
      </c>
      <c r="D11" s="169">
        <v>-39.6</v>
      </c>
      <c r="E11" s="169">
        <v>-35.334000000000003</v>
      </c>
      <c r="F11" s="169">
        <v>-21.856999999999999</v>
      </c>
      <c r="G11" s="169">
        <v>-28.155999999999999</v>
      </c>
      <c r="H11" s="169">
        <v>-37.226999999999997</v>
      </c>
      <c r="I11" s="170">
        <v>-42.192</v>
      </c>
    </row>
    <row r="12" spans="1:9" x14ac:dyDescent="0.3">
      <c r="A12" s="8" t="s">
        <v>979</v>
      </c>
      <c r="B12" s="8" t="s">
        <v>980</v>
      </c>
      <c r="C12" s="169">
        <v>48.033000000000001</v>
      </c>
      <c r="D12" s="169">
        <v>41.737000000000002</v>
      </c>
      <c r="E12" s="169">
        <v>-20.234000000000002</v>
      </c>
      <c r="F12" s="169">
        <v>-22.983000000000001</v>
      </c>
      <c r="G12" s="169">
        <v>50.459000000000003</v>
      </c>
      <c r="H12" s="169">
        <v>25.274000000000001</v>
      </c>
      <c r="I12" s="170">
        <v>0.83999999999999897</v>
      </c>
    </row>
    <row r="13" spans="1:9" x14ac:dyDescent="0.3">
      <c r="A13" s="8" t="s">
        <v>981</v>
      </c>
      <c r="B13" s="8" t="s">
        <v>379</v>
      </c>
      <c r="C13" s="169">
        <v>-10.911</v>
      </c>
      <c r="D13" s="169">
        <v>-14.14</v>
      </c>
      <c r="E13" s="169">
        <v>-47.048999999999999</v>
      </c>
      <c r="F13" s="169">
        <v>-47.463999999999999</v>
      </c>
      <c r="G13" s="169">
        <v>-46.42</v>
      </c>
      <c r="H13" s="169">
        <v>-75.531000000000006</v>
      </c>
      <c r="I13" s="170">
        <v>-69.471000000000004</v>
      </c>
    </row>
    <row r="14" spans="1:9" x14ac:dyDescent="0.3">
      <c r="A14" s="8" t="s">
        <v>982</v>
      </c>
      <c r="B14" s="8" t="s">
        <v>381</v>
      </c>
      <c r="C14" s="169">
        <v>-7.62</v>
      </c>
      <c r="D14" s="169">
        <v>2.843</v>
      </c>
      <c r="E14" s="169">
        <v>-19.393000000000001</v>
      </c>
      <c r="F14" s="169">
        <v>-7.5039999999999996</v>
      </c>
      <c r="G14" s="169">
        <v>18.332000000000001</v>
      </c>
      <c r="H14" s="169">
        <v>-22.416</v>
      </c>
      <c r="I14" s="170">
        <v>-17.952999999999999</v>
      </c>
    </row>
    <row r="15" spans="1:9" x14ac:dyDescent="0.3">
      <c r="A15" s="8" t="s">
        <v>983</v>
      </c>
      <c r="B15" s="8" t="s">
        <v>984</v>
      </c>
      <c r="C15" s="169">
        <v>66.563999999999993</v>
      </c>
      <c r="D15" s="169">
        <v>53.033999999999999</v>
      </c>
      <c r="E15" s="169">
        <v>46.207999999999998</v>
      </c>
      <c r="F15" s="169">
        <v>31.984999999999999</v>
      </c>
      <c r="G15" s="169">
        <v>78.546999999999997</v>
      </c>
      <c r="H15" s="169">
        <v>123.221</v>
      </c>
      <c r="I15" s="170">
        <v>88.263999999999996</v>
      </c>
    </row>
    <row r="16" spans="1:9" x14ac:dyDescent="0.3">
      <c r="A16" s="8" t="s">
        <v>985</v>
      </c>
      <c r="B16" s="8" t="s">
        <v>986</v>
      </c>
      <c r="C16" s="169">
        <v>0</v>
      </c>
      <c r="D16" s="169">
        <v>0</v>
      </c>
      <c r="E16" s="169">
        <v>0</v>
      </c>
      <c r="F16" s="169">
        <v>0</v>
      </c>
      <c r="G16" s="169">
        <v>0</v>
      </c>
      <c r="H16" s="169">
        <v>0</v>
      </c>
      <c r="I16" s="170">
        <v>0</v>
      </c>
    </row>
    <row r="17" spans="1:9" x14ac:dyDescent="0.3">
      <c r="A17" s="166" t="s">
        <v>970</v>
      </c>
      <c r="B17" s="166" t="s">
        <v>987</v>
      </c>
      <c r="C17" s="167">
        <v>-192.52500000000001</v>
      </c>
      <c r="D17" s="167">
        <v>-171.76900000000001</v>
      </c>
      <c r="E17" s="167">
        <v>-171.48099999999999</v>
      </c>
      <c r="F17" s="167">
        <v>-103.021</v>
      </c>
      <c r="G17" s="167">
        <v>-11.815</v>
      </c>
      <c r="H17" s="167">
        <v>131.65899999999999</v>
      </c>
      <c r="I17" s="168">
        <v>192.64500000000001</v>
      </c>
    </row>
    <row r="18" spans="1:9" x14ac:dyDescent="0.3">
      <c r="A18" s="166"/>
      <c r="B18" s="174"/>
      <c r="C18" s="174"/>
      <c r="D18" s="174"/>
      <c r="E18" s="174"/>
      <c r="F18" s="174"/>
      <c r="G18" s="174"/>
      <c r="H18" s="174"/>
      <c r="I18" s="175"/>
    </row>
    <row r="19" spans="1:9" x14ac:dyDescent="0.3">
      <c r="A19" s="166" t="s">
        <v>988</v>
      </c>
      <c r="B19" s="174"/>
      <c r="C19" s="174"/>
      <c r="D19" s="174"/>
      <c r="E19" s="174"/>
      <c r="F19" s="174"/>
      <c r="G19" s="174"/>
      <c r="H19" s="174"/>
      <c r="I19" s="175"/>
    </row>
    <row r="20" spans="1:9" x14ac:dyDescent="0.3">
      <c r="A20" s="8" t="s">
        <v>989</v>
      </c>
      <c r="B20" s="8" t="s">
        <v>990</v>
      </c>
      <c r="C20" s="169">
        <v>-29.99</v>
      </c>
      <c r="D20" s="169">
        <v>-32.101999999999997</v>
      </c>
      <c r="E20" s="169">
        <v>-19.353000000000002</v>
      </c>
      <c r="F20" s="169">
        <v>-33.24</v>
      </c>
      <c r="G20" s="169">
        <v>-10.952999999999999</v>
      </c>
      <c r="H20" s="169">
        <v>-20.177</v>
      </c>
      <c r="I20" s="170">
        <v>-23.012</v>
      </c>
    </row>
    <row r="21" spans="1:9" x14ac:dyDescent="0.3">
      <c r="A21" s="8" t="s">
        <v>991</v>
      </c>
      <c r="B21" s="8" t="s">
        <v>992</v>
      </c>
      <c r="C21" s="169">
        <v>0</v>
      </c>
      <c r="D21" s="169">
        <v>0</v>
      </c>
      <c r="E21" s="169">
        <v>0</v>
      </c>
      <c r="F21" s="169">
        <v>0</v>
      </c>
      <c r="G21" s="169">
        <v>0</v>
      </c>
      <c r="H21" s="169">
        <v>0</v>
      </c>
      <c r="I21" s="170">
        <v>0</v>
      </c>
    </row>
    <row r="22" spans="1:9" x14ac:dyDescent="0.3">
      <c r="A22" s="171" t="s">
        <v>993</v>
      </c>
      <c r="B22" s="171" t="s">
        <v>994</v>
      </c>
      <c r="C22" s="172">
        <v>0</v>
      </c>
      <c r="D22" s="172">
        <v>0</v>
      </c>
      <c r="E22" s="172" t="s">
        <v>830</v>
      </c>
      <c r="F22" s="172">
        <v>0</v>
      </c>
      <c r="G22" s="172">
        <v>0</v>
      </c>
      <c r="H22" s="172">
        <v>0</v>
      </c>
      <c r="I22" s="173">
        <v>0</v>
      </c>
    </row>
    <row r="23" spans="1:9" x14ac:dyDescent="0.3">
      <c r="A23" s="171" t="s">
        <v>995</v>
      </c>
      <c r="B23" s="171" t="s">
        <v>996</v>
      </c>
      <c r="C23" s="172">
        <v>0</v>
      </c>
      <c r="D23" s="172">
        <v>0</v>
      </c>
      <c r="E23" s="172" t="s">
        <v>830</v>
      </c>
      <c r="F23" s="172">
        <v>0</v>
      </c>
      <c r="G23" s="172">
        <v>0</v>
      </c>
      <c r="H23" s="172">
        <v>0</v>
      </c>
      <c r="I23" s="173">
        <v>0</v>
      </c>
    </row>
    <row r="24" spans="1:9" x14ac:dyDescent="0.3">
      <c r="A24" s="8" t="s">
        <v>997</v>
      </c>
      <c r="B24" s="8" t="s">
        <v>998</v>
      </c>
      <c r="C24" s="169">
        <v>-29.99</v>
      </c>
      <c r="D24" s="169">
        <v>-32.101999999999997</v>
      </c>
      <c r="E24" s="169">
        <v>-19.353000000000002</v>
      </c>
      <c r="F24" s="169">
        <v>-33.24</v>
      </c>
      <c r="G24" s="169">
        <v>-10.952999999999999</v>
      </c>
      <c r="H24" s="169">
        <v>-20.177</v>
      </c>
      <c r="I24" s="170">
        <v>-23.012</v>
      </c>
    </row>
    <row r="25" spans="1:9" x14ac:dyDescent="0.3">
      <c r="A25" s="171" t="s">
        <v>999</v>
      </c>
      <c r="B25" s="171" t="s">
        <v>1000</v>
      </c>
      <c r="C25" s="172">
        <v>-29.99</v>
      </c>
      <c r="D25" s="172">
        <v>-32.101999999999997</v>
      </c>
      <c r="E25" s="172">
        <v>-19.353000000000002</v>
      </c>
      <c r="F25" s="172">
        <v>-33.24</v>
      </c>
      <c r="G25" s="172">
        <v>-10.952999999999999</v>
      </c>
      <c r="H25" s="172">
        <v>-20.177</v>
      </c>
      <c r="I25" s="173">
        <v>-23.012</v>
      </c>
    </row>
    <row r="26" spans="1:9" x14ac:dyDescent="0.3">
      <c r="A26" s="171" t="s">
        <v>1001</v>
      </c>
      <c r="B26" s="171" t="s">
        <v>1002</v>
      </c>
      <c r="C26" s="172">
        <v>0</v>
      </c>
      <c r="D26" s="172">
        <v>0</v>
      </c>
      <c r="E26" s="172">
        <v>0</v>
      </c>
      <c r="F26" s="172">
        <v>0</v>
      </c>
      <c r="G26" s="172">
        <v>0</v>
      </c>
      <c r="H26" s="172">
        <v>0</v>
      </c>
      <c r="I26" s="173">
        <v>0</v>
      </c>
    </row>
    <row r="27" spans="1:9" x14ac:dyDescent="0.3">
      <c r="A27" s="8" t="s">
        <v>1003</v>
      </c>
      <c r="B27" s="8" t="s">
        <v>1004</v>
      </c>
      <c r="C27" s="169">
        <v>0</v>
      </c>
      <c r="D27" s="169">
        <v>0</v>
      </c>
      <c r="E27" s="169">
        <v>0</v>
      </c>
      <c r="F27" s="169">
        <v>0</v>
      </c>
      <c r="G27" s="169">
        <v>0</v>
      </c>
      <c r="H27" s="169">
        <v>0</v>
      </c>
      <c r="I27" s="170">
        <v>0</v>
      </c>
    </row>
    <row r="28" spans="1:9" x14ac:dyDescent="0.3">
      <c r="A28" s="8" t="s">
        <v>1005</v>
      </c>
      <c r="B28" s="8" t="s">
        <v>1006</v>
      </c>
      <c r="C28" s="169">
        <v>0</v>
      </c>
      <c r="D28" s="169">
        <v>0</v>
      </c>
      <c r="E28" s="169">
        <v>0</v>
      </c>
      <c r="F28" s="169">
        <v>0</v>
      </c>
      <c r="G28" s="169">
        <v>0</v>
      </c>
      <c r="H28" s="169">
        <v>0</v>
      </c>
      <c r="I28" s="170">
        <v>0</v>
      </c>
    </row>
    <row r="29" spans="1:9" x14ac:dyDescent="0.3">
      <c r="A29" s="8" t="s">
        <v>1007</v>
      </c>
      <c r="B29" s="8" t="s">
        <v>1008</v>
      </c>
      <c r="C29" s="169">
        <v>0</v>
      </c>
      <c r="D29" s="169">
        <v>0</v>
      </c>
      <c r="E29" s="169">
        <v>0</v>
      </c>
      <c r="F29" s="169">
        <v>0</v>
      </c>
      <c r="G29" s="169">
        <v>0</v>
      </c>
      <c r="H29" s="169">
        <v>0</v>
      </c>
      <c r="I29" s="170">
        <v>0</v>
      </c>
    </row>
    <row r="30" spans="1:9" x14ac:dyDescent="0.3">
      <c r="A30" s="8" t="s">
        <v>1009</v>
      </c>
      <c r="B30" s="8" t="s">
        <v>1010</v>
      </c>
      <c r="C30" s="169">
        <v>0</v>
      </c>
      <c r="D30" s="169">
        <v>0</v>
      </c>
      <c r="E30" s="169">
        <v>0</v>
      </c>
      <c r="F30" s="169">
        <v>0</v>
      </c>
      <c r="G30" s="169">
        <v>0</v>
      </c>
      <c r="H30" s="169">
        <v>0</v>
      </c>
      <c r="I30" s="170">
        <v>0</v>
      </c>
    </row>
    <row r="31" spans="1:9" x14ac:dyDescent="0.3">
      <c r="A31" s="8" t="s">
        <v>1011</v>
      </c>
      <c r="B31" s="8" t="s">
        <v>1012</v>
      </c>
      <c r="C31" s="169">
        <v>0</v>
      </c>
      <c r="D31" s="169">
        <v>0</v>
      </c>
      <c r="E31" s="169">
        <v>0</v>
      </c>
      <c r="F31" s="169">
        <v>0</v>
      </c>
      <c r="G31" s="169">
        <v>0</v>
      </c>
      <c r="H31" s="169">
        <v>0</v>
      </c>
      <c r="I31" s="170">
        <v>0</v>
      </c>
    </row>
    <row r="32" spans="1:9" x14ac:dyDescent="0.3">
      <c r="A32" s="8" t="s">
        <v>1013</v>
      </c>
      <c r="B32" s="8" t="s">
        <v>1014</v>
      </c>
      <c r="C32" s="169">
        <v>0</v>
      </c>
      <c r="D32" s="169">
        <v>0</v>
      </c>
      <c r="E32" s="169">
        <v>0</v>
      </c>
      <c r="F32" s="169">
        <v>0</v>
      </c>
      <c r="G32" s="169">
        <v>0</v>
      </c>
      <c r="H32" s="169">
        <v>0</v>
      </c>
      <c r="I32" s="170">
        <v>0</v>
      </c>
    </row>
    <row r="33" spans="1:9" x14ac:dyDescent="0.3">
      <c r="A33" s="8" t="s">
        <v>1015</v>
      </c>
      <c r="B33" s="8" t="s">
        <v>1016</v>
      </c>
      <c r="C33" s="169">
        <v>0</v>
      </c>
      <c r="D33" s="169">
        <v>0</v>
      </c>
      <c r="E33" s="169">
        <v>0</v>
      </c>
      <c r="F33" s="169">
        <v>0</v>
      </c>
      <c r="G33" s="169">
        <v>0</v>
      </c>
      <c r="H33" s="169">
        <v>0</v>
      </c>
      <c r="I33" s="170">
        <v>0</v>
      </c>
    </row>
    <row r="34" spans="1:9" x14ac:dyDescent="0.3">
      <c r="A34" s="8" t="s">
        <v>1017</v>
      </c>
      <c r="B34" s="8" t="s">
        <v>1018</v>
      </c>
      <c r="C34" s="169">
        <v>0</v>
      </c>
      <c r="D34" s="169">
        <v>-0.1</v>
      </c>
      <c r="E34" s="169">
        <v>-0.68200000000000005</v>
      </c>
      <c r="F34" s="169">
        <v>-598.60799999999995</v>
      </c>
      <c r="G34" s="169">
        <v>-67.733999999999995</v>
      </c>
      <c r="H34" s="169">
        <v>-46.444000000000003</v>
      </c>
      <c r="I34" s="170">
        <v>-96.816000000000003</v>
      </c>
    </row>
    <row r="35" spans="1:9" x14ac:dyDescent="0.3">
      <c r="A35" s="8" t="s">
        <v>985</v>
      </c>
      <c r="B35" s="8" t="s">
        <v>1019</v>
      </c>
      <c r="C35" s="169">
        <v>0</v>
      </c>
      <c r="D35" s="169">
        <v>0</v>
      </c>
      <c r="E35" s="169">
        <v>0</v>
      </c>
      <c r="F35" s="169">
        <v>0</v>
      </c>
      <c r="G35" s="169">
        <v>0</v>
      </c>
      <c r="H35" s="169">
        <v>0</v>
      </c>
      <c r="I35" s="170">
        <v>0</v>
      </c>
    </row>
    <row r="36" spans="1:9" x14ac:dyDescent="0.3">
      <c r="A36" s="166" t="s">
        <v>988</v>
      </c>
      <c r="B36" s="166" t="s">
        <v>413</v>
      </c>
      <c r="C36" s="167">
        <v>-29.99</v>
      </c>
      <c r="D36" s="167">
        <v>-32.201999999999998</v>
      </c>
      <c r="E36" s="167">
        <v>-20.035</v>
      </c>
      <c r="F36" s="167">
        <v>-631.84799999999996</v>
      </c>
      <c r="G36" s="167">
        <v>-78.686999999999998</v>
      </c>
      <c r="H36" s="167">
        <v>-66.620999999999995</v>
      </c>
      <c r="I36" s="168">
        <v>-119.828</v>
      </c>
    </row>
    <row r="37" spans="1:9" x14ac:dyDescent="0.3">
      <c r="A37" s="166"/>
      <c r="B37" s="174"/>
      <c r="C37" s="174"/>
      <c r="D37" s="174"/>
      <c r="E37" s="174"/>
      <c r="F37" s="174"/>
      <c r="G37" s="174"/>
      <c r="H37" s="174"/>
      <c r="I37" s="175"/>
    </row>
    <row r="38" spans="1:9" x14ac:dyDescent="0.3">
      <c r="A38" s="166" t="s">
        <v>1020</v>
      </c>
      <c r="B38" s="174"/>
      <c r="C38" s="174"/>
      <c r="D38" s="174"/>
      <c r="E38" s="174"/>
      <c r="F38" s="174"/>
      <c r="G38" s="174"/>
      <c r="H38" s="174"/>
      <c r="I38" s="175"/>
    </row>
    <row r="39" spans="1:9" x14ac:dyDescent="0.3">
      <c r="A39" s="8" t="s">
        <v>1021</v>
      </c>
      <c r="B39" s="8" t="s">
        <v>1022</v>
      </c>
      <c r="C39" s="169">
        <v>0</v>
      </c>
      <c r="D39" s="169">
        <v>0</v>
      </c>
      <c r="E39" s="169">
        <v>0</v>
      </c>
      <c r="F39" s="169">
        <v>0</v>
      </c>
      <c r="G39" s="169">
        <v>0</v>
      </c>
      <c r="H39" s="169">
        <v>0</v>
      </c>
      <c r="I39" s="170">
        <v>0</v>
      </c>
    </row>
    <row r="40" spans="1:9" x14ac:dyDescent="0.3">
      <c r="A40" s="8" t="s">
        <v>1023</v>
      </c>
      <c r="B40" s="8" t="s">
        <v>1024</v>
      </c>
      <c r="C40" s="169">
        <v>0</v>
      </c>
      <c r="D40" s="169">
        <v>-0.16800000000000001</v>
      </c>
      <c r="E40" s="169">
        <v>-0.54500000000000004</v>
      </c>
      <c r="F40" s="169">
        <v>-1.3029999999999999</v>
      </c>
      <c r="G40" s="169">
        <v>-2.2050000000000001</v>
      </c>
      <c r="H40" s="169">
        <v>-1.6910000000000001</v>
      </c>
      <c r="I40" s="170">
        <v>-1.4410000000000001</v>
      </c>
    </row>
    <row r="41" spans="1:9" x14ac:dyDescent="0.3">
      <c r="A41" s="8" t="s">
        <v>1025</v>
      </c>
      <c r="B41" s="8" t="s">
        <v>1026</v>
      </c>
      <c r="C41" s="169">
        <v>0</v>
      </c>
      <c r="D41" s="169">
        <v>0</v>
      </c>
      <c r="E41" s="169" t="s">
        <v>830</v>
      </c>
      <c r="F41" s="169">
        <v>0</v>
      </c>
      <c r="G41" s="169">
        <v>0</v>
      </c>
      <c r="H41" s="169">
        <v>0</v>
      </c>
      <c r="I41" s="170">
        <v>0</v>
      </c>
    </row>
    <row r="42" spans="1:9" x14ac:dyDescent="0.3">
      <c r="A42" s="8" t="s">
        <v>1027</v>
      </c>
      <c r="B42" s="8" t="s">
        <v>1028</v>
      </c>
      <c r="C42" s="169">
        <v>0</v>
      </c>
      <c r="D42" s="169">
        <v>0</v>
      </c>
      <c r="E42" s="169" t="s">
        <v>830</v>
      </c>
      <c r="F42" s="169">
        <v>0</v>
      </c>
      <c r="G42" s="169">
        <v>0</v>
      </c>
      <c r="H42" s="169">
        <v>0</v>
      </c>
      <c r="I42" s="170">
        <v>0</v>
      </c>
    </row>
    <row r="43" spans="1:9" x14ac:dyDescent="0.3">
      <c r="A43" s="8" t="s">
        <v>1029</v>
      </c>
      <c r="B43" s="8" t="s">
        <v>1030</v>
      </c>
      <c r="C43" s="169">
        <v>0</v>
      </c>
      <c r="D43" s="169">
        <v>-0.16800000000000001</v>
      </c>
      <c r="E43" s="169">
        <v>-0.54500000000000004</v>
      </c>
      <c r="F43" s="169">
        <v>-1.3029999999999999</v>
      </c>
      <c r="G43" s="169">
        <v>-2.2050000000000001</v>
      </c>
      <c r="H43" s="169">
        <v>-1.6910000000000001</v>
      </c>
      <c r="I43" s="170">
        <v>-1.4410000000000001</v>
      </c>
    </row>
    <row r="44" spans="1:9" x14ac:dyDescent="0.3">
      <c r="A44" s="8" t="s">
        <v>1031</v>
      </c>
      <c r="B44" s="8" t="s">
        <v>1032</v>
      </c>
      <c r="C44" s="169">
        <v>300.85500000000002</v>
      </c>
      <c r="D44" s="169">
        <v>402.142</v>
      </c>
      <c r="E44" s="169">
        <v>706.29399999999998</v>
      </c>
      <c r="F44" s="169">
        <v>18.047000000000001</v>
      </c>
      <c r="G44" s="169">
        <v>23.202000000000002</v>
      </c>
      <c r="H44" s="169">
        <v>28.798999999999999</v>
      </c>
      <c r="I44" s="170">
        <v>30.613</v>
      </c>
    </row>
    <row r="45" spans="1:9" x14ac:dyDescent="0.3">
      <c r="A45" s="8" t="s">
        <v>1033</v>
      </c>
      <c r="B45" s="8" t="s">
        <v>1034</v>
      </c>
      <c r="C45" s="169">
        <v>300.88499999999999</v>
      </c>
      <c r="D45" s="169">
        <v>402.20299999999997</v>
      </c>
      <c r="E45" s="169">
        <v>706.29899999999998</v>
      </c>
      <c r="F45" s="169">
        <v>18.047000000000001</v>
      </c>
      <c r="G45" s="169">
        <v>23.202000000000002</v>
      </c>
      <c r="H45" s="169">
        <v>28.798999999999999</v>
      </c>
      <c r="I45" s="170">
        <v>30.613</v>
      </c>
    </row>
    <row r="46" spans="1:9" x14ac:dyDescent="0.3">
      <c r="A46" s="8" t="s">
        <v>1035</v>
      </c>
      <c r="B46" s="8" t="s">
        <v>1036</v>
      </c>
      <c r="C46" s="169">
        <v>-0.03</v>
      </c>
      <c r="D46" s="169">
        <v>-6.0999999999999999E-2</v>
      </c>
      <c r="E46" s="169">
        <v>-5.0000000000000001E-3</v>
      </c>
      <c r="F46" s="169">
        <v>0</v>
      </c>
      <c r="G46" s="169">
        <v>0</v>
      </c>
      <c r="H46" s="169">
        <v>0</v>
      </c>
      <c r="I46" s="170">
        <v>0</v>
      </c>
    </row>
    <row r="47" spans="1:9" x14ac:dyDescent="0.3">
      <c r="A47" s="8" t="s">
        <v>1037</v>
      </c>
      <c r="B47" s="8" t="s">
        <v>1038</v>
      </c>
      <c r="C47" s="169">
        <v>-5.0019999999999998</v>
      </c>
      <c r="D47" s="169">
        <v>0</v>
      </c>
      <c r="E47" s="169">
        <v>-4.1050000000000004</v>
      </c>
      <c r="F47" s="169">
        <v>-2.532</v>
      </c>
      <c r="G47" s="169">
        <v>0</v>
      </c>
      <c r="H47" s="169">
        <v>-7.0000000000000001E-3</v>
      </c>
      <c r="I47" s="170">
        <v>-7.0000000000000001E-3</v>
      </c>
    </row>
    <row r="48" spans="1:9" x14ac:dyDescent="0.3">
      <c r="A48" s="8" t="s">
        <v>985</v>
      </c>
      <c r="B48" s="8" t="s">
        <v>1039</v>
      </c>
      <c r="C48" s="169">
        <v>0</v>
      </c>
      <c r="D48" s="169">
        <v>0</v>
      </c>
      <c r="E48" s="169">
        <v>0</v>
      </c>
      <c r="F48" s="169">
        <v>0</v>
      </c>
      <c r="G48" s="169">
        <v>0</v>
      </c>
      <c r="H48" s="169">
        <v>0</v>
      </c>
      <c r="I48" s="170">
        <v>0</v>
      </c>
    </row>
    <row r="49" spans="1:9" x14ac:dyDescent="0.3">
      <c r="A49" s="166" t="s">
        <v>1020</v>
      </c>
      <c r="B49" s="166" t="s">
        <v>1040</v>
      </c>
      <c r="C49" s="167">
        <v>295.85300000000001</v>
      </c>
      <c r="D49" s="167">
        <v>401.97399999999999</v>
      </c>
      <c r="E49" s="167">
        <v>701.64400000000001</v>
      </c>
      <c r="F49" s="167">
        <v>14.212</v>
      </c>
      <c r="G49" s="167">
        <v>20.997</v>
      </c>
      <c r="H49" s="167">
        <v>27.100999999999999</v>
      </c>
      <c r="I49" s="168">
        <v>29.164999999999999</v>
      </c>
    </row>
    <row r="50" spans="1:9" x14ac:dyDescent="0.3">
      <c r="A50" s="166"/>
      <c r="B50" s="174"/>
      <c r="C50" s="174"/>
      <c r="D50" s="174"/>
      <c r="E50" s="174"/>
      <c r="F50" s="174"/>
      <c r="G50" s="174"/>
      <c r="H50" s="174"/>
      <c r="I50" s="175"/>
    </row>
    <row r="51" spans="1:9" x14ac:dyDescent="0.3">
      <c r="A51" s="8" t="s">
        <v>1041</v>
      </c>
      <c r="B51" s="8" t="s">
        <v>429</v>
      </c>
      <c r="C51" s="169">
        <v>0</v>
      </c>
      <c r="D51" s="169">
        <v>0</v>
      </c>
      <c r="E51" s="169">
        <v>-0.127</v>
      </c>
      <c r="F51" s="169">
        <v>0.113</v>
      </c>
      <c r="G51" s="169">
        <v>0.47699999999999998</v>
      </c>
      <c r="H51" s="169">
        <v>-1.083</v>
      </c>
      <c r="I51" s="170">
        <v>0.82399999999999995</v>
      </c>
    </row>
    <row r="52" spans="1:9" x14ac:dyDescent="0.3">
      <c r="A52" s="166"/>
      <c r="B52" s="174"/>
      <c r="C52" s="174"/>
      <c r="D52" s="174"/>
      <c r="E52" s="174"/>
      <c r="F52" s="174"/>
      <c r="G52" s="174"/>
      <c r="H52" s="174"/>
      <c r="I52" s="175"/>
    </row>
    <row r="53" spans="1:9" x14ac:dyDescent="0.3">
      <c r="A53" s="166" t="s">
        <v>1042</v>
      </c>
      <c r="B53" s="166" t="s">
        <v>432</v>
      </c>
      <c r="C53" s="167">
        <v>73.337999999999994</v>
      </c>
      <c r="D53" s="167">
        <v>198.00299999999999</v>
      </c>
      <c r="E53" s="167">
        <v>510.00099999999998</v>
      </c>
      <c r="F53" s="167">
        <v>-720.54399999999998</v>
      </c>
      <c r="G53" s="167">
        <v>-69.028000000000006</v>
      </c>
      <c r="H53" s="167">
        <v>91.055999999999997</v>
      </c>
      <c r="I53" s="168">
        <v>102.806</v>
      </c>
    </row>
    <row r="54" spans="1:9" x14ac:dyDescent="0.3">
      <c r="A54" s="166"/>
      <c r="B54" s="174"/>
      <c r="C54" s="174"/>
      <c r="D54" s="174"/>
      <c r="E54" s="174"/>
      <c r="F54" s="174"/>
      <c r="G54" s="174"/>
      <c r="H54" s="174"/>
      <c r="I54" s="175"/>
    </row>
    <row r="55" spans="1:9" x14ac:dyDescent="0.3">
      <c r="A55" s="166" t="s">
        <v>1043</v>
      </c>
      <c r="B55" s="166" t="s">
        <v>1044</v>
      </c>
      <c r="C55" s="167">
        <v>1E-3</v>
      </c>
      <c r="D55" s="167">
        <v>3.1E-2</v>
      </c>
      <c r="E55" s="167">
        <v>0.46700000000000003</v>
      </c>
      <c r="F55" s="167">
        <v>0.60699999999999998</v>
      </c>
      <c r="G55" s="167">
        <v>2.1219999999999999</v>
      </c>
      <c r="H55" s="167">
        <v>3.4630000000000001</v>
      </c>
      <c r="I55" s="168">
        <v>4.1449999999999996</v>
      </c>
    </row>
    <row r="56" spans="1:9" x14ac:dyDescent="0.3">
      <c r="A56" s="166"/>
      <c r="B56" s="174"/>
      <c r="C56" s="174"/>
      <c r="D56" s="174"/>
      <c r="E56" s="174"/>
      <c r="F56" s="174"/>
      <c r="G56" s="174"/>
      <c r="H56" s="174"/>
      <c r="I56" s="175"/>
    </row>
    <row r="57" spans="1:9" x14ac:dyDescent="0.3">
      <c r="A57" s="166" t="s">
        <v>810</v>
      </c>
      <c r="B57" s="174"/>
      <c r="C57" s="174"/>
      <c r="D57" s="174"/>
      <c r="E57" s="174"/>
      <c r="F57" s="174"/>
      <c r="G57" s="174"/>
      <c r="H57" s="174"/>
      <c r="I57" s="175"/>
    </row>
    <row r="58" spans="1:9" x14ac:dyDescent="0.3">
      <c r="A58" s="8" t="s">
        <v>516</v>
      </c>
      <c r="B58" s="8" t="s">
        <v>516</v>
      </c>
      <c r="C58" s="169">
        <v>-201.35</v>
      </c>
      <c r="D58" s="169">
        <v>-175.12899999999999</v>
      </c>
      <c r="E58" s="169">
        <v>-319.50200000000001</v>
      </c>
      <c r="F58" s="169">
        <v>-223.14699999999999</v>
      </c>
      <c r="G58" s="169">
        <v>-284.89800000000002</v>
      </c>
      <c r="H58" s="169">
        <v>-148.453</v>
      </c>
      <c r="I58" s="170">
        <v>-89.510999999999996</v>
      </c>
    </row>
    <row r="59" spans="1:9" x14ac:dyDescent="0.3">
      <c r="A59" s="8" t="s">
        <v>1045</v>
      </c>
      <c r="B59" s="8" t="s">
        <v>815</v>
      </c>
      <c r="C59" s="9">
        <v>-167.98060000000001</v>
      </c>
      <c r="D59" s="9">
        <v>-70.078199999999995</v>
      </c>
      <c r="E59" s="9">
        <v>-74.5899</v>
      </c>
      <c r="F59" s="9">
        <v>-34.196399999999997</v>
      </c>
      <c r="G59" s="9">
        <v>-30.392800000000001</v>
      </c>
      <c r="H59" s="9">
        <v>-11.883900000000001</v>
      </c>
      <c r="I59" s="180">
        <v>-6.2742747794635596</v>
      </c>
    </row>
    <row r="60" spans="1:9" x14ac:dyDescent="0.3">
      <c r="A60" s="8" t="s">
        <v>607</v>
      </c>
      <c r="B60" s="8" t="s">
        <v>1046</v>
      </c>
      <c r="C60" s="169">
        <v>-222.51499999999999</v>
      </c>
      <c r="D60" s="169">
        <v>-203.87100000000001</v>
      </c>
      <c r="E60" s="169">
        <v>-190.834</v>
      </c>
      <c r="F60" s="169">
        <v>-136.261</v>
      </c>
      <c r="G60" s="169">
        <v>-22.768000000000001</v>
      </c>
      <c r="H60" s="169">
        <v>111.482</v>
      </c>
      <c r="I60" s="170">
        <v>169.63300000000001</v>
      </c>
    </row>
    <row r="61" spans="1:9" x14ac:dyDescent="0.3">
      <c r="A61" s="8" t="s">
        <v>1047</v>
      </c>
      <c r="B61" s="8" t="s">
        <v>1048</v>
      </c>
      <c r="C61" s="169" t="s">
        <v>830</v>
      </c>
      <c r="D61" s="169">
        <v>195.459</v>
      </c>
      <c r="E61" s="169">
        <v>-1130.876</v>
      </c>
      <c r="F61" s="169">
        <v>-137.56399999999999</v>
      </c>
      <c r="G61" s="169">
        <v>-24.972999999999999</v>
      </c>
      <c r="H61" s="169">
        <v>109.791</v>
      </c>
      <c r="I61" s="170">
        <v>168.19200000000001</v>
      </c>
    </row>
    <row r="62" spans="1:9" x14ac:dyDescent="0.3">
      <c r="A62" s="8" t="s">
        <v>1049</v>
      </c>
      <c r="B62" s="8" t="s">
        <v>1050</v>
      </c>
      <c r="C62" s="9">
        <v>-0.9657</v>
      </c>
      <c r="D62" s="9">
        <v>-0.85199999999999998</v>
      </c>
      <c r="E62" s="9">
        <v>-0.68759999999999999</v>
      </c>
      <c r="F62" s="9">
        <v>-0.26500000000000001</v>
      </c>
      <c r="G62" s="9">
        <v>-4.2599999999999999E-2</v>
      </c>
      <c r="H62" s="9">
        <v>0.20039999999999999</v>
      </c>
      <c r="I62" s="180">
        <v>0.29971505326283998</v>
      </c>
    </row>
    <row r="63" spans="1:9" x14ac:dyDescent="0.3">
      <c r="A63" s="8" t="s">
        <v>1051</v>
      </c>
      <c r="B63" s="8" t="s">
        <v>1052</v>
      </c>
      <c r="C63" s="9" t="s">
        <v>830</v>
      </c>
      <c r="D63" s="9" t="s">
        <v>830</v>
      </c>
      <c r="E63" s="9" t="s">
        <v>830</v>
      </c>
      <c r="F63" s="9" t="s">
        <v>830</v>
      </c>
      <c r="G63" s="9" t="s">
        <v>830</v>
      </c>
      <c r="H63" s="9">
        <v>256.99529999999999</v>
      </c>
      <c r="I63" s="180">
        <v>129.28946870752401</v>
      </c>
    </row>
    <row r="64" spans="1:9" x14ac:dyDescent="0.3">
      <c r="A64" s="5" t="s">
        <v>456</v>
      </c>
      <c r="B64" s="5"/>
      <c r="C64" s="5" t="s">
        <v>829</v>
      </c>
      <c r="D64" s="5"/>
      <c r="E64" s="5"/>
      <c r="F64" s="5"/>
      <c r="G64" s="5"/>
      <c r="H64" s="5"/>
      <c r="I64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60D3-F6E2-4CB1-B6F3-CDB44892D678}">
  <dimension ref="A1:O38"/>
  <sheetViews>
    <sheetView showGridLines="0" workbookViewId="0">
      <selection activeCell="K32" sqref="K32"/>
    </sheetView>
  </sheetViews>
  <sheetFormatPr defaultRowHeight="14.4" x14ac:dyDescent="0.3"/>
  <cols>
    <col min="1" max="1" width="86.88671875" bestFit="1" customWidth="1"/>
    <col min="2" max="2" width="38.33203125" customWidth="1"/>
    <col min="3" max="3" width="11.44140625" bestFit="1" customWidth="1"/>
    <col min="4" max="11" width="12.109375" bestFit="1" customWidth="1"/>
    <col min="12" max="13" width="12.44140625" bestFit="1" customWidth="1"/>
    <col min="14" max="14" width="8.109375" bestFit="1" customWidth="1"/>
  </cols>
  <sheetData>
    <row r="1" spans="1:15" ht="21" x14ac:dyDescent="0.3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5" x14ac:dyDescent="0.3">
      <c r="A3" s="3" t="s">
        <v>2</v>
      </c>
      <c r="B3" s="3"/>
      <c r="C3" s="3"/>
      <c r="D3" s="3" t="s">
        <v>457</v>
      </c>
      <c r="E3" s="3" t="s">
        <v>458</v>
      </c>
      <c r="F3" s="3" t="s">
        <v>459</v>
      </c>
      <c r="G3" s="3" t="s">
        <v>460</v>
      </c>
      <c r="H3" s="3" t="s">
        <v>461</v>
      </c>
      <c r="I3" s="3" t="s">
        <v>462</v>
      </c>
      <c r="J3" s="3" t="s">
        <v>463</v>
      </c>
      <c r="K3" s="3" t="s">
        <v>464</v>
      </c>
      <c r="L3" s="3" t="s">
        <v>465</v>
      </c>
      <c r="M3" s="3" t="s">
        <v>466</v>
      </c>
    </row>
    <row r="4" spans="1:15" x14ac:dyDescent="0.3">
      <c r="A4" s="7" t="s">
        <v>3</v>
      </c>
      <c r="B4" s="7" t="s">
        <v>4</v>
      </c>
      <c r="C4" s="7" t="s">
        <v>6</v>
      </c>
      <c r="D4" s="1">
        <v>43130</v>
      </c>
      <c r="E4" s="1">
        <v>43495</v>
      </c>
      <c r="F4" s="1">
        <v>43862</v>
      </c>
      <c r="G4" s="1">
        <v>44226</v>
      </c>
      <c r="H4" s="1">
        <v>44590</v>
      </c>
      <c r="I4" s="1">
        <v>44954</v>
      </c>
      <c r="J4" s="1">
        <v>45325</v>
      </c>
      <c r="K4" s="1">
        <v>45689</v>
      </c>
      <c r="L4" s="1">
        <v>46053</v>
      </c>
      <c r="M4" s="1">
        <v>46417</v>
      </c>
    </row>
    <row r="8" spans="1:15" x14ac:dyDescent="0.3">
      <c r="B8" s="8" t="s">
        <v>144</v>
      </c>
      <c r="C8" s="4"/>
      <c r="D8" s="4"/>
      <c r="E8" s="9"/>
      <c r="F8" s="9"/>
      <c r="G8" s="9"/>
      <c r="H8" s="9"/>
      <c r="I8" s="9"/>
      <c r="J8" s="9"/>
      <c r="K8" s="9"/>
      <c r="L8" s="9"/>
      <c r="M8" s="9"/>
      <c r="N8" s="9"/>
      <c r="O8" s="67"/>
    </row>
    <row r="9" spans="1:15" x14ac:dyDescent="0.3">
      <c r="B9" s="8" t="s">
        <v>11</v>
      </c>
      <c r="C9" s="4" t="s">
        <v>13</v>
      </c>
      <c r="D9" s="4"/>
      <c r="E9" s="9" t="s">
        <v>467</v>
      </c>
      <c r="F9" s="9">
        <v>119.86499999999999</v>
      </c>
      <c r="G9" s="9">
        <v>249.905</v>
      </c>
      <c r="H9" s="9">
        <v>428.34500000000003</v>
      </c>
      <c r="I9" s="9">
        <v>652.54499999999996</v>
      </c>
      <c r="J9" s="9">
        <v>937.4</v>
      </c>
      <c r="K9" s="9">
        <v>1249.1990000000001</v>
      </c>
      <c r="L9" s="9">
        <v>1577.0555555555557</v>
      </c>
      <c r="M9" s="9">
        <v>1900.6315789473683</v>
      </c>
      <c r="N9" s="9"/>
      <c r="O9" s="67"/>
    </row>
    <row r="10" spans="1:15" x14ac:dyDescent="0.3">
      <c r="B10" s="8" t="s">
        <v>14</v>
      </c>
      <c r="C10" s="4"/>
      <c r="D10" s="4"/>
      <c r="E10" s="9"/>
      <c r="F10" s="9"/>
      <c r="G10" s="9"/>
      <c r="H10" s="9"/>
      <c r="I10" s="9"/>
      <c r="J10" s="9"/>
      <c r="K10" s="9"/>
      <c r="L10" s="9"/>
      <c r="M10" s="9"/>
      <c r="N10" s="9"/>
      <c r="O10" s="67"/>
    </row>
    <row r="11" spans="1:15" x14ac:dyDescent="0.3">
      <c r="B11" s="8" t="s">
        <v>145</v>
      </c>
      <c r="C11" s="4" t="s">
        <v>147</v>
      </c>
      <c r="D11" s="4"/>
      <c r="E11" s="9" t="s">
        <v>467</v>
      </c>
      <c r="F11" s="9" t="s">
        <v>467</v>
      </c>
      <c r="G11" s="9" t="s">
        <v>467</v>
      </c>
      <c r="H11" s="9" t="s">
        <v>467</v>
      </c>
      <c r="I11" s="9" t="s">
        <v>467</v>
      </c>
      <c r="J11" s="9">
        <v>247.03200000000001</v>
      </c>
      <c r="K11" s="9">
        <v>282.97199999999998</v>
      </c>
      <c r="L11" s="9">
        <v>355.09878517310636</v>
      </c>
      <c r="M11" s="9">
        <v>429.47397173960059</v>
      </c>
      <c r="N11" s="9"/>
      <c r="O11" s="67"/>
    </row>
    <row r="12" spans="1:15" x14ac:dyDescent="0.3">
      <c r="B12" s="8" t="s">
        <v>148</v>
      </c>
      <c r="C12" s="4" t="s">
        <v>150</v>
      </c>
      <c r="D12" s="4"/>
      <c r="E12" s="9" t="s">
        <v>467</v>
      </c>
      <c r="F12" s="9">
        <v>71.549000000000007</v>
      </c>
      <c r="G12" s="9">
        <v>174.52500000000001</v>
      </c>
      <c r="H12" s="9">
        <v>310.20499999999998</v>
      </c>
      <c r="I12" s="9">
        <v>479.35500000000002</v>
      </c>
      <c r="J12" s="9">
        <v>703.07799999999997</v>
      </c>
      <c r="K12" s="9">
        <v>966.22699999999998</v>
      </c>
      <c r="L12" s="9">
        <v>1221.2847055520097</v>
      </c>
      <c r="M12" s="9">
        <v>1467.7793853780606</v>
      </c>
      <c r="N12" s="9"/>
      <c r="O12" s="67"/>
    </row>
    <row r="13" spans="1:15" x14ac:dyDescent="0.3">
      <c r="B13" s="8" t="s">
        <v>151</v>
      </c>
      <c r="C13" s="4" t="s">
        <v>20</v>
      </c>
      <c r="D13" s="4"/>
      <c r="E13" s="9" t="s">
        <v>467</v>
      </c>
      <c r="F13" s="9" t="s">
        <v>467</v>
      </c>
      <c r="G13" s="9" t="s">
        <v>467</v>
      </c>
      <c r="H13" s="9">
        <v>72</v>
      </c>
      <c r="I13" s="9">
        <v>73</v>
      </c>
      <c r="J13" s="9">
        <v>75</v>
      </c>
      <c r="K13" s="9">
        <v>77</v>
      </c>
      <c r="L13" s="9">
        <v>77.468031384845602</v>
      </c>
      <c r="M13" s="9">
        <v>77.348724216192011</v>
      </c>
      <c r="N13" s="9"/>
      <c r="O13" s="67"/>
    </row>
    <row r="14" spans="1:15" x14ac:dyDescent="0.3">
      <c r="B14" s="8" t="s">
        <v>14</v>
      </c>
      <c r="C14" s="4"/>
      <c r="D14" s="4"/>
      <c r="E14" s="9"/>
      <c r="F14" s="9"/>
      <c r="G14" s="9"/>
      <c r="H14" s="9"/>
      <c r="I14" s="9"/>
      <c r="J14" s="9"/>
      <c r="K14" s="9"/>
      <c r="L14" s="9"/>
      <c r="M14" s="9"/>
      <c r="N14" s="9"/>
      <c r="O14" s="67"/>
    </row>
    <row r="15" spans="1:15" x14ac:dyDescent="0.3">
      <c r="B15" s="8" t="s">
        <v>152</v>
      </c>
      <c r="C15" s="4" t="s">
        <v>154</v>
      </c>
      <c r="D15" s="4"/>
      <c r="E15" s="9" t="s">
        <v>467</v>
      </c>
      <c r="F15" s="9" t="s">
        <v>467</v>
      </c>
      <c r="G15" s="9" t="s">
        <v>467</v>
      </c>
      <c r="H15" s="9" t="s">
        <v>467</v>
      </c>
      <c r="I15" s="9" t="s">
        <v>467</v>
      </c>
      <c r="J15" s="9" t="s">
        <v>467</v>
      </c>
      <c r="K15" s="9" t="s">
        <v>467</v>
      </c>
      <c r="L15" s="9">
        <v>985.66494669816188</v>
      </c>
      <c r="M15" s="9">
        <v>1164.8521343880466</v>
      </c>
      <c r="N15" s="9"/>
      <c r="O15" s="67"/>
    </row>
    <row r="16" spans="1:15" x14ac:dyDescent="0.3">
      <c r="B16" s="8" t="s">
        <v>155</v>
      </c>
      <c r="C16" s="4" t="s">
        <v>157</v>
      </c>
      <c r="D16" s="4"/>
      <c r="E16" s="9" t="s">
        <v>467</v>
      </c>
      <c r="F16" s="9">
        <v>66.811999999999998</v>
      </c>
      <c r="G16" s="9">
        <v>85.954999999999998</v>
      </c>
      <c r="H16" s="9">
        <v>102.276</v>
      </c>
      <c r="I16" s="9">
        <v>187.405</v>
      </c>
      <c r="J16" s="9">
        <v>163.36099999999999</v>
      </c>
      <c r="K16" s="9">
        <v>192.46600000000001</v>
      </c>
      <c r="L16" s="9">
        <v>220.73672162591507</v>
      </c>
      <c r="M16" s="9">
        <v>263.18027947173982</v>
      </c>
      <c r="N16" s="9"/>
      <c r="O16" s="67"/>
    </row>
    <row r="17" spans="2:15" x14ac:dyDescent="0.3">
      <c r="B17" s="8" t="s">
        <v>158</v>
      </c>
      <c r="C17" s="4" t="s">
        <v>160</v>
      </c>
      <c r="D17" s="4"/>
      <c r="E17" s="9" t="s">
        <v>467</v>
      </c>
      <c r="F17" s="9">
        <v>179.393</v>
      </c>
      <c r="G17" s="9">
        <v>195.315</v>
      </c>
      <c r="H17" s="9">
        <v>228.661</v>
      </c>
      <c r="I17" s="9">
        <v>316.02600000000001</v>
      </c>
      <c r="J17" s="9">
        <v>411.44600000000003</v>
      </c>
      <c r="K17" s="9">
        <v>511.17700000000002</v>
      </c>
      <c r="L17" s="9">
        <v>589.63635610189715</v>
      </c>
      <c r="M17" s="9">
        <v>699.57561036998106</v>
      </c>
      <c r="N17" s="9"/>
      <c r="O17" s="67"/>
    </row>
    <row r="18" spans="2:15" x14ac:dyDescent="0.3">
      <c r="B18" s="8" t="s">
        <v>161</v>
      </c>
      <c r="C18" s="4" t="s">
        <v>163</v>
      </c>
      <c r="D18" s="4"/>
      <c r="E18" s="9" t="s">
        <v>467</v>
      </c>
      <c r="F18" s="9">
        <v>44.953000000000003</v>
      </c>
      <c r="G18" s="9">
        <v>70.402000000000001</v>
      </c>
      <c r="H18" s="9">
        <v>93.346000000000004</v>
      </c>
      <c r="I18" s="9">
        <v>117.083</v>
      </c>
      <c r="J18" s="9">
        <v>127.001</v>
      </c>
      <c r="K18" s="9">
        <v>149.03200000000001</v>
      </c>
      <c r="L18" s="9">
        <v>175.14895481887058</v>
      </c>
      <c r="M18" s="9">
        <v>201.27737400244041</v>
      </c>
      <c r="N18" s="9"/>
      <c r="O18" s="67"/>
    </row>
    <row r="19" spans="2:15" x14ac:dyDescent="0.3">
      <c r="B19" s="8" t="s">
        <v>164</v>
      </c>
      <c r="C19" s="4" t="s">
        <v>166</v>
      </c>
      <c r="D19" s="4"/>
      <c r="E19" s="9" t="s">
        <v>467</v>
      </c>
      <c r="F19" s="9">
        <v>2.2519999999999998</v>
      </c>
      <c r="G19" s="9">
        <v>7.923</v>
      </c>
      <c r="H19" s="9">
        <v>7.056</v>
      </c>
      <c r="I19" s="9">
        <v>7.867</v>
      </c>
      <c r="J19" s="9">
        <v>10.739000000000001</v>
      </c>
      <c r="K19" s="9">
        <v>20.649000000000001</v>
      </c>
      <c r="L19" s="9">
        <v>23.047271185670699</v>
      </c>
      <c r="M19" s="9">
        <v>27.750106849568699</v>
      </c>
      <c r="N19" s="9"/>
      <c r="O19" s="67"/>
    </row>
    <row r="20" spans="2:15" x14ac:dyDescent="0.3">
      <c r="B20" s="8" t="s">
        <v>14</v>
      </c>
      <c r="C20" s="4"/>
      <c r="D20" s="4"/>
      <c r="E20" s="9"/>
      <c r="F20" s="9"/>
      <c r="G20" s="9"/>
      <c r="H20" s="9"/>
      <c r="I20" s="9"/>
      <c r="J20" s="9"/>
      <c r="K20" s="9"/>
      <c r="L20" s="9"/>
      <c r="M20" s="9"/>
      <c r="N20" s="9"/>
      <c r="O20" s="67"/>
    </row>
    <row r="21" spans="2:15" x14ac:dyDescent="0.3">
      <c r="B21" s="8" t="s">
        <v>167</v>
      </c>
      <c r="C21" s="4" t="s">
        <v>23</v>
      </c>
      <c r="D21" s="4"/>
      <c r="E21" s="9" t="s">
        <v>467</v>
      </c>
      <c r="F21" s="9" t="s">
        <v>467</v>
      </c>
      <c r="G21" s="9" t="s">
        <v>467</v>
      </c>
      <c r="H21" s="9">
        <v>-114.078</v>
      </c>
      <c r="I21" s="9">
        <v>-76.974999999999994</v>
      </c>
      <c r="J21" s="9">
        <v>1.27</v>
      </c>
      <c r="K21" s="9">
        <v>113.55200000000001</v>
      </c>
      <c r="L21" s="9">
        <v>235.88235294117646</v>
      </c>
      <c r="M21" s="9">
        <v>306</v>
      </c>
      <c r="N21" s="9"/>
      <c r="O21" s="67"/>
    </row>
    <row r="22" spans="2:15" x14ac:dyDescent="0.3">
      <c r="B22" s="8" t="s">
        <v>24</v>
      </c>
      <c r="C22" s="4" t="s">
        <v>26</v>
      </c>
      <c r="D22" s="4"/>
      <c r="E22" s="9" t="s">
        <v>467</v>
      </c>
      <c r="F22" s="9">
        <v>-183.21361531723187</v>
      </c>
      <c r="G22" s="9">
        <v>-70.885736579900367</v>
      </c>
      <c r="H22" s="9">
        <v>-26.542623352671331</v>
      </c>
      <c r="I22" s="9">
        <v>-11.796121340290707</v>
      </c>
      <c r="J22" s="9">
        <v>0.13548328594974315</v>
      </c>
      <c r="K22" s="9">
        <v>9.0899848622997617</v>
      </c>
      <c r="L22" s="9">
        <v>14.941851736526363</v>
      </c>
      <c r="M22" s="9">
        <v>15.962708365351414</v>
      </c>
      <c r="N22" s="9"/>
      <c r="O22" s="67"/>
    </row>
    <row r="23" spans="2:15" x14ac:dyDescent="0.3">
      <c r="B23" s="8" t="s">
        <v>14</v>
      </c>
      <c r="C23" s="4"/>
      <c r="D23" s="4"/>
      <c r="E23" s="9"/>
      <c r="F23" s="9"/>
      <c r="G23" s="9"/>
      <c r="H23" s="9"/>
      <c r="I23" s="9"/>
      <c r="J23" s="9"/>
      <c r="K23" s="9"/>
      <c r="L23" s="9"/>
      <c r="M23" s="9"/>
      <c r="N23" s="9"/>
      <c r="O23" s="67"/>
    </row>
    <row r="24" spans="2:15" x14ac:dyDescent="0.3">
      <c r="B24" s="8" t="s">
        <v>168</v>
      </c>
      <c r="C24" s="4" t="s">
        <v>170</v>
      </c>
      <c r="D24" s="4"/>
      <c r="E24" s="9" t="s">
        <v>467</v>
      </c>
      <c r="F24" s="9" t="s">
        <v>467</v>
      </c>
      <c r="G24" s="9" t="s">
        <v>467</v>
      </c>
      <c r="H24" s="9">
        <v>-103.69</v>
      </c>
      <c r="I24" s="9">
        <v>-65.206999999999994</v>
      </c>
      <c r="J24" s="9">
        <v>16.795999999999999</v>
      </c>
      <c r="K24" s="9">
        <v>118.35599999999999</v>
      </c>
      <c r="L24" s="9">
        <v>259.33333333333337</v>
      </c>
      <c r="M24" s="9">
        <v>332.5555555555556</v>
      </c>
      <c r="N24" s="9"/>
      <c r="O24" s="67"/>
    </row>
    <row r="25" spans="2:15" x14ac:dyDescent="0.3">
      <c r="B25" s="8" t="s">
        <v>14</v>
      </c>
      <c r="C25" s="4"/>
      <c r="D25" s="4"/>
      <c r="E25" s="9"/>
      <c r="F25" s="9"/>
      <c r="G25" s="9"/>
      <c r="H25" s="9"/>
      <c r="I25" s="9"/>
      <c r="J25" s="9"/>
      <c r="K25" s="9"/>
      <c r="L25" s="9"/>
      <c r="M25" s="9"/>
      <c r="N25" s="9"/>
      <c r="O25" s="67"/>
    </row>
    <row r="26" spans="2:15" x14ac:dyDescent="0.3">
      <c r="B26" s="8" t="s">
        <v>171</v>
      </c>
      <c r="C26" s="4" t="s">
        <v>173</v>
      </c>
      <c r="D26" s="4"/>
      <c r="E26" s="9" t="s">
        <v>467</v>
      </c>
      <c r="F26" s="9">
        <v>-2.9340000000000002</v>
      </c>
      <c r="G26" s="9">
        <v>0.64200000000000002</v>
      </c>
      <c r="H26" s="9">
        <v>2E-3</v>
      </c>
      <c r="I26" s="9">
        <v>-15.62</v>
      </c>
      <c r="J26" s="9">
        <v>-39.963999999999999</v>
      </c>
      <c r="K26" s="9">
        <v>-39.558999999999997</v>
      </c>
      <c r="L26" s="9">
        <v>-45.256057115900646</v>
      </c>
      <c r="M26" s="9">
        <v>-44.783984265721983</v>
      </c>
      <c r="N26" s="9"/>
      <c r="O26" s="67"/>
    </row>
    <row r="27" spans="2:15" x14ac:dyDescent="0.3">
      <c r="B27" s="8" t="s">
        <v>174</v>
      </c>
      <c r="C27" s="4" t="s">
        <v>176</v>
      </c>
      <c r="D27" s="4"/>
      <c r="E27" s="9" t="s">
        <v>467</v>
      </c>
      <c r="F27" s="9">
        <v>-216.67500000000001</v>
      </c>
      <c r="G27" s="9">
        <v>-177.78899999999999</v>
      </c>
      <c r="H27" s="9">
        <v>-114.08</v>
      </c>
      <c r="I27" s="9">
        <v>-61.354999999999997</v>
      </c>
      <c r="J27" s="9">
        <v>41.234000000000002</v>
      </c>
      <c r="K27" s="9">
        <v>153.11099999999999</v>
      </c>
      <c r="L27" s="9">
        <v>280.50947425330196</v>
      </c>
      <c r="M27" s="9">
        <v>346.57933446714588</v>
      </c>
      <c r="N27" s="9"/>
      <c r="O27" s="67"/>
    </row>
    <row r="28" spans="2:15" x14ac:dyDescent="0.3">
      <c r="B28" s="8" t="s">
        <v>177</v>
      </c>
      <c r="C28" s="4" t="s">
        <v>179</v>
      </c>
      <c r="D28" s="4"/>
      <c r="E28" s="9" t="s">
        <v>467</v>
      </c>
      <c r="F28" s="9">
        <v>0.34</v>
      </c>
      <c r="G28" s="9">
        <v>8.6999999999999994E-2</v>
      </c>
      <c r="H28" s="9">
        <v>1.1739999999999999</v>
      </c>
      <c r="I28" s="9">
        <v>3.5870000000000002</v>
      </c>
      <c r="J28" s="9">
        <v>3.343</v>
      </c>
      <c r="K28" s="9">
        <v>4.4930000000000003</v>
      </c>
      <c r="L28" s="9">
        <v>6.5235374692642063</v>
      </c>
      <c r="M28" s="9">
        <v>10.924398723808357</v>
      </c>
      <c r="N28" s="9"/>
      <c r="O28" s="67"/>
    </row>
    <row r="29" spans="2:15" x14ac:dyDescent="0.3">
      <c r="B29" s="8" t="s">
        <v>14</v>
      </c>
      <c r="C29" s="4"/>
      <c r="D29" s="4"/>
      <c r="E29" s="9"/>
      <c r="F29" s="9"/>
      <c r="G29" s="9"/>
      <c r="H29" s="9"/>
      <c r="I29" s="9"/>
      <c r="J29" s="9"/>
      <c r="K29" s="9"/>
      <c r="L29" s="9"/>
      <c r="M29" s="9"/>
      <c r="N29" s="9"/>
      <c r="O29" s="67"/>
    </row>
    <row r="30" spans="2:15" x14ac:dyDescent="0.3">
      <c r="B30" s="8" t="s">
        <v>180</v>
      </c>
      <c r="C30" s="4" t="s">
        <v>182</v>
      </c>
      <c r="D30" s="4"/>
      <c r="E30" s="9" t="s">
        <v>467</v>
      </c>
      <c r="F30" s="9">
        <v>0.34</v>
      </c>
      <c r="G30" s="9">
        <v>8.6999999999999994E-2</v>
      </c>
      <c r="H30" s="9">
        <v>1.1739999999999999</v>
      </c>
      <c r="I30" s="9">
        <v>3.5870000000000002</v>
      </c>
      <c r="J30" s="9">
        <v>3.343</v>
      </c>
      <c r="K30" s="9">
        <v>4.4930000000000003</v>
      </c>
      <c r="L30" s="9">
        <v>8.4538672078821087</v>
      </c>
      <c r="M30" s="9">
        <v>18.216614230800221</v>
      </c>
      <c r="N30" s="9"/>
      <c r="O30" s="67"/>
    </row>
    <row r="31" spans="2:15" x14ac:dyDescent="0.3">
      <c r="B31" s="8" t="s">
        <v>14</v>
      </c>
      <c r="C31" s="4"/>
      <c r="D31" s="4"/>
      <c r="E31" s="9"/>
      <c r="F31" s="9"/>
      <c r="G31" s="9"/>
      <c r="H31" s="9"/>
      <c r="I31" s="9"/>
      <c r="J31" s="9"/>
      <c r="K31" s="9"/>
      <c r="L31" s="9"/>
      <c r="M31" s="9"/>
      <c r="N31" s="9"/>
      <c r="O31" s="67"/>
    </row>
    <row r="32" spans="2:15" x14ac:dyDescent="0.3">
      <c r="B32" s="8" t="s">
        <v>183</v>
      </c>
      <c r="C32" s="4" t="s">
        <v>185</v>
      </c>
      <c r="D32" s="4"/>
      <c r="E32" s="9" t="s">
        <v>467</v>
      </c>
      <c r="F32" s="9">
        <v>-225.22399999999999</v>
      </c>
      <c r="G32" s="9">
        <v>-210.208</v>
      </c>
      <c r="H32" s="9">
        <v>-355.024</v>
      </c>
      <c r="I32" s="9">
        <v>-247.422</v>
      </c>
      <c r="J32" s="9">
        <v>-286.726</v>
      </c>
      <c r="K32" s="9">
        <v>-154.90700000000001</v>
      </c>
      <c r="L32" s="9">
        <v>-64.734824745889028</v>
      </c>
      <c r="M32" s="9">
        <v>-0.92458726159091931</v>
      </c>
      <c r="N32" s="9"/>
      <c r="O32" s="67"/>
    </row>
    <row r="33" spans="2:15" x14ac:dyDescent="0.3">
      <c r="B33" s="8" t="s">
        <v>186</v>
      </c>
      <c r="C33" s="4" t="s">
        <v>188</v>
      </c>
      <c r="D33" s="4"/>
      <c r="E33" s="9" t="s">
        <v>467</v>
      </c>
      <c r="F33" s="9" t="s">
        <v>467</v>
      </c>
      <c r="G33" s="9" t="s">
        <v>467</v>
      </c>
      <c r="H33" s="9">
        <v>-355.024</v>
      </c>
      <c r="I33" s="9">
        <v>-64.941999999999993</v>
      </c>
      <c r="J33" s="9">
        <v>37.890999999999998</v>
      </c>
      <c r="K33" s="9">
        <v>148.61799999999999</v>
      </c>
      <c r="L33" s="9">
        <v>272.61111111111109</v>
      </c>
      <c r="M33" s="9">
        <v>336.88888888888891</v>
      </c>
      <c r="N33" s="9"/>
      <c r="O33" s="67"/>
    </row>
    <row r="34" spans="2:15" x14ac:dyDescent="0.3">
      <c r="B34" s="8" t="s">
        <v>14</v>
      </c>
      <c r="C34" s="4"/>
      <c r="D34" s="4"/>
      <c r="E34" s="9"/>
      <c r="F34" s="9"/>
      <c r="G34" s="9"/>
      <c r="H34" s="9"/>
      <c r="I34" s="9"/>
      <c r="J34" s="9"/>
      <c r="K34" s="9"/>
      <c r="L34" s="9"/>
      <c r="M34" s="9"/>
      <c r="N34" s="9"/>
      <c r="O34" s="67"/>
    </row>
    <row r="35" spans="2:15" x14ac:dyDescent="0.3">
      <c r="B35" s="8" t="s">
        <v>189</v>
      </c>
      <c r="C35" s="4" t="s">
        <v>191</v>
      </c>
      <c r="D35" s="4"/>
      <c r="E35" s="9" t="s">
        <v>467</v>
      </c>
      <c r="F35" s="9">
        <v>230.426896</v>
      </c>
      <c r="G35" s="9">
        <v>239.28169600000001</v>
      </c>
      <c r="H35" s="9">
        <v>277.54347100000001</v>
      </c>
      <c r="I35" s="9">
        <v>514.27922999999998</v>
      </c>
      <c r="J35" s="9">
        <v>534.87850100000003</v>
      </c>
      <c r="K35" s="9">
        <v>556.31744000000003</v>
      </c>
      <c r="L35" s="9">
        <v>574.91847112684013</v>
      </c>
      <c r="M35" s="9">
        <v>585.73495903312937</v>
      </c>
      <c r="N35" s="9"/>
      <c r="O35" s="67"/>
    </row>
    <row r="36" spans="2:15" x14ac:dyDescent="0.3">
      <c r="B36" s="8" t="s">
        <v>14</v>
      </c>
      <c r="C36" s="4"/>
      <c r="D36" s="4"/>
      <c r="E36" s="9"/>
      <c r="F36" s="9"/>
      <c r="G36" s="9"/>
      <c r="H36" s="9"/>
      <c r="I36" s="9"/>
      <c r="J36" s="9"/>
      <c r="K36" s="9"/>
      <c r="L36" s="9"/>
      <c r="M36" s="9"/>
      <c r="N36" s="9"/>
      <c r="O36" s="67"/>
    </row>
    <row r="37" spans="2:15" x14ac:dyDescent="0.3">
      <c r="B37" s="8" t="s">
        <v>192</v>
      </c>
      <c r="C37" s="4" t="s">
        <v>194</v>
      </c>
      <c r="D37" s="4"/>
      <c r="E37" s="9" t="s">
        <v>467</v>
      </c>
      <c r="F37" s="9">
        <v>230.426896</v>
      </c>
      <c r="G37" s="9">
        <v>239.28169600000001</v>
      </c>
      <c r="H37" s="9">
        <v>277.54347100000001</v>
      </c>
      <c r="I37" s="9">
        <v>514.27922999999998</v>
      </c>
      <c r="J37" s="9">
        <v>534.87850100000003</v>
      </c>
      <c r="K37" s="9">
        <v>556.31744000000003</v>
      </c>
      <c r="L37" s="9">
        <v>583.84367603115766</v>
      </c>
      <c r="M37" s="9">
        <v>593.57415927361558</v>
      </c>
      <c r="N37" s="9"/>
      <c r="O37" s="67"/>
    </row>
    <row r="38" spans="2:15" x14ac:dyDescent="0.3">
      <c r="B38" s="8" t="s">
        <v>195</v>
      </c>
      <c r="C38" s="4" t="s">
        <v>10</v>
      </c>
      <c r="D38" s="4"/>
      <c r="E38" s="9" t="s">
        <v>467</v>
      </c>
      <c r="F38" s="9" t="s">
        <v>467</v>
      </c>
      <c r="G38" s="9" t="s">
        <v>467</v>
      </c>
      <c r="H38" s="9">
        <v>-0.42</v>
      </c>
      <c r="I38" s="9">
        <v>-0.13</v>
      </c>
      <c r="J38" s="9">
        <v>7.0000000000000007E-2</v>
      </c>
      <c r="K38" s="9">
        <v>0.26</v>
      </c>
      <c r="L38" s="9">
        <v>0.46777777777777768</v>
      </c>
      <c r="M38" s="9">
        <v>0.56105263157894747</v>
      </c>
      <c r="N38" s="9"/>
      <c r="O38" s="6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4D001-54A4-42FC-93C1-0244A378D829}">
  <dimension ref="A1:I50"/>
  <sheetViews>
    <sheetView workbookViewId="0">
      <selection activeCell="G28" sqref="G28"/>
    </sheetView>
  </sheetViews>
  <sheetFormatPr defaultRowHeight="14.4" x14ac:dyDescent="0.3"/>
  <cols>
    <col min="1" max="1" width="51.109375" bestFit="1" customWidth="1"/>
    <col min="2" max="7" width="7.5546875" bestFit="1" customWidth="1"/>
    <col min="8" max="8" width="7.44140625" bestFit="1" customWidth="1"/>
  </cols>
  <sheetData>
    <row r="1" spans="1:8" x14ac:dyDescent="0.3">
      <c r="A1" s="38" t="s">
        <v>468</v>
      </c>
      <c r="B1" s="10"/>
      <c r="C1" s="10"/>
      <c r="D1" s="10"/>
      <c r="E1" s="10"/>
      <c r="F1" s="10"/>
      <c r="G1" s="10"/>
      <c r="H1" s="10"/>
    </row>
    <row r="2" spans="1:8" x14ac:dyDescent="0.3">
      <c r="A2" s="40" t="s">
        <v>469</v>
      </c>
      <c r="B2" s="10"/>
      <c r="C2" s="10"/>
      <c r="D2" s="10"/>
      <c r="E2" s="10"/>
      <c r="F2" s="10"/>
      <c r="G2" s="10"/>
      <c r="H2" s="10"/>
    </row>
    <row r="3" spans="1:8" x14ac:dyDescent="0.3">
      <c r="A3" s="39"/>
      <c r="B3" s="39"/>
      <c r="C3" s="39"/>
      <c r="D3" s="39"/>
      <c r="E3" s="39"/>
      <c r="F3" s="39"/>
      <c r="G3" s="39"/>
      <c r="H3" s="39"/>
    </row>
    <row r="5" spans="1:8" x14ac:dyDescent="0.3">
      <c r="A5" s="11" t="s">
        <v>470</v>
      </c>
      <c r="B5" s="11"/>
      <c r="C5" s="11"/>
      <c r="D5" s="11"/>
      <c r="E5" s="11"/>
      <c r="F5" s="11"/>
      <c r="G5" s="11"/>
      <c r="H5" s="11"/>
    </row>
    <row r="6" spans="1:8" x14ac:dyDescent="0.3">
      <c r="A6" s="11" t="s">
        <v>471</v>
      </c>
      <c r="B6" s="11"/>
      <c r="C6" s="11"/>
      <c r="D6" s="11"/>
      <c r="E6" s="11"/>
      <c r="F6" s="11"/>
      <c r="G6" s="11"/>
      <c r="H6" s="11"/>
    </row>
    <row r="7" spans="1:8" x14ac:dyDescent="0.3">
      <c r="A7" s="11" t="s">
        <v>472</v>
      </c>
      <c r="B7" s="11"/>
      <c r="C7" s="11"/>
      <c r="D7" s="11"/>
      <c r="E7" s="11"/>
      <c r="F7" s="11"/>
      <c r="G7" s="11"/>
      <c r="H7" s="11"/>
    </row>
    <row r="8" spans="1:8" x14ac:dyDescent="0.3">
      <c r="A8" s="11"/>
      <c r="B8" s="11" t="s">
        <v>473</v>
      </c>
      <c r="C8" s="11" t="s">
        <v>474</v>
      </c>
      <c r="D8" s="11" t="s">
        <v>475</v>
      </c>
      <c r="E8" s="11" t="s">
        <v>476</v>
      </c>
      <c r="F8" s="11" t="s">
        <v>477</v>
      </c>
      <c r="G8" s="11" t="s">
        <v>478</v>
      </c>
      <c r="H8" s="11" t="s">
        <v>479</v>
      </c>
    </row>
    <row r="9" spans="1:8" x14ac:dyDescent="0.3">
      <c r="A9" s="11"/>
      <c r="B9" s="11"/>
      <c r="C9" s="11"/>
      <c r="D9" s="11"/>
      <c r="E9" s="11"/>
      <c r="F9" s="11"/>
      <c r="G9" s="11"/>
      <c r="H9" s="11" t="s">
        <v>480</v>
      </c>
    </row>
    <row r="10" spans="1:8" x14ac:dyDescent="0.3">
      <c r="A10" s="12" t="s">
        <v>481</v>
      </c>
      <c r="B10" s="13">
        <v>119.86499999999999</v>
      </c>
      <c r="C10" s="13">
        <v>249.905</v>
      </c>
      <c r="D10" s="13">
        <v>428.34500000000003</v>
      </c>
      <c r="E10" s="13">
        <v>652.54499999999996</v>
      </c>
      <c r="F10" s="13">
        <v>937.38499999999999</v>
      </c>
      <c r="G10" s="13">
        <v>1249.1990000000001</v>
      </c>
      <c r="H10" s="13">
        <v>1426.635</v>
      </c>
    </row>
    <row r="11" spans="1:8" x14ac:dyDescent="0.3">
      <c r="A11" s="14" t="s">
        <v>482</v>
      </c>
      <c r="B11" s="15">
        <v>48.322000000000003</v>
      </c>
      <c r="C11" s="15">
        <v>75.393000000000001</v>
      </c>
      <c r="D11" s="15">
        <v>124.48399999999999</v>
      </c>
      <c r="E11" s="15">
        <v>182.65600000000001</v>
      </c>
      <c r="F11" s="15">
        <v>247.03200000000001</v>
      </c>
      <c r="G11" s="15">
        <v>298.32100000000003</v>
      </c>
      <c r="H11" s="15">
        <v>330.00099999999998</v>
      </c>
    </row>
    <row r="12" spans="1:8" x14ac:dyDescent="0.3">
      <c r="A12" s="17" t="s">
        <v>483</v>
      </c>
      <c r="B12" s="18">
        <v>23.516999999999999</v>
      </c>
      <c r="C12" s="18">
        <v>38.280999999999999</v>
      </c>
      <c r="D12" s="18">
        <v>75.02</v>
      </c>
      <c r="E12" s="18">
        <v>105.91800000000001</v>
      </c>
      <c r="F12" s="18">
        <v>134.727</v>
      </c>
      <c r="G12" s="18">
        <v>160.86000000000001</v>
      </c>
      <c r="H12" s="18">
        <v>180.846</v>
      </c>
    </row>
    <row r="13" spans="1:8" x14ac:dyDescent="0.3">
      <c r="A13" s="19" t="s">
        <v>484</v>
      </c>
      <c r="B13" s="15">
        <v>24.805</v>
      </c>
      <c r="C13" s="15">
        <v>37.112000000000002</v>
      </c>
      <c r="D13" s="15">
        <v>49.463999999999999</v>
      </c>
      <c r="E13" s="15">
        <v>76.738</v>
      </c>
      <c r="F13" s="15">
        <v>112.30500000000001</v>
      </c>
      <c r="G13" s="15">
        <v>137.46100000000001</v>
      </c>
      <c r="H13" s="15">
        <v>149.155</v>
      </c>
    </row>
    <row r="14" spans="1:8" x14ac:dyDescent="0.3">
      <c r="A14" s="21" t="s">
        <v>485</v>
      </c>
      <c r="B14" s="18">
        <v>15.705</v>
      </c>
      <c r="C14" s="18">
        <v>17.111999999999998</v>
      </c>
      <c r="D14" s="18">
        <v>9.5640000000000001</v>
      </c>
      <c r="E14" s="18">
        <v>11.768000000000001</v>
      </c>
      <c r="F14" s="18">
        <v>15.526</v>
      </c>
      <c r="G14" s="18">
        <v>20.649000000000001</v>
      </c>
      <c r="H14" s="18">
        <v>22.102</v>
      </c>
    </row>
    <row r="15" spans="1:8" x14ac:dyDescent="0.3">
      <c r="A15" s="20" t="s">
        <v>486</v>
      </c>
      <c r="B15" s="22">
        <v>9.1</v>
      </c>
      <c r="C15" s="22">
        <v>20</v>
      </c>
      <c r="D15" s="22">
        <v>39.9</v>
      </c>
      <c r="E15" s="22">
        <v>64.97</v>
      </c>
      <c r="F15" s="22">
        <v>96.778999999999996</v>
      </c>
      <c r="G15" s="22">
        <v>116.812</v>
      </c>
      <c r="H15" s="22">
        <v>127.053</v>
      </c>
    </row>
    <row r="16" spans="1:8" x14ac:dyDescent="0.3">
      <c r="A16" s="12" t="s">
        <v>487</v>
      </c>
      <c r="B16" s="13">
        <v>71.543000000000006</v>
      </c>
      <c r="C16" s="13">
        <v>174.512</v>
      </c>
      <c r="D16" s="13">
        <v>303.86099999999999</v>
      </c>
      <c r="E16" s="13">
        <v>469.88900000000001</v>
      </c>
      <c r="F16" s="13">
        <v>690.35299999999995</v>
      </c>
      <c r="G16" s="13">
        <v>950.87800000000004</v>
      </c>
      <c r="H16" s="13">
        <v>1096.634</v>
      </c>
    </row>
    <row r="17" spans="1:9" x14ac:dyDescent="0.3">
      <c r="A17" s="14" t="s">
        <v>488</v>
      </c>
      <c r="B17" s="15">
        <v>299.36099999999999</v>
      </c>
      <c r="C17" s="15">
        <v>377.22300000000001</v>
      </c>
      <c r="D17" s="15">
        <v>656.17700000000002</v>
      </c>
      <c r="E17" s="15">
        <v>728.28800000000001</v>
      </c>
      <c r="F17" s="15">
        <v>940.27300000000002</v>
      </c>
      <c r="G17" s="15">
        <v>1135.973</v>
      </c>
      <c r="H17" s="15">
        <v>1217.412</v>
      </c>
    </row>
    <row r="18" spans="1:9" x14ac:dyDescent="0.3">
      <c r="A18" s="17" t="s">
        <v>489</v>
      </c>
      <c r="B18" s="18">
        <v>70.465999999999994</v>
      </c>
      <c r="C18" s="18">
        <v>99.738</v>
      </c>
      <c r="D18" s="18">
        <v>205.125</v>
      </c>
      <c r="E18" s="18">
        <v>187.405</v>
      </c>
      <c r="F18" s="18">
        <v>258.58100000000002</v>
      </c>
      <c r="G18" s="18">
        <v>299.71600000000001</v>
      </c>
      <c r="H18" s="18">
        <v>319.12099999999998</v>
      </c>
    </row>
    <row r="19" spans="1:9" x14ac:dyDescent="0.3">
      <c r="A19" s="16" t="s">
        <v>490</v>
      </c>
      <c r="B19" s="22">
        <v>228.89500000000001</v>
      </c>
      <c r="C19" s="22">
        <v>277.48500000000001</v>
      </c>
      <c r="D19" s="22">
        <v>451.05200000000002</v>
      </c>
      <c r="E19" s="22">
        <v>540.88300000000004</v>
      </c>
      <c r="F19" s="22">
        <v>681.69200000000001</v>
      </c>
      <c r="G19" s="22">
        <v>836.25699999999995</v>
      </c>
      <c r="H19" s="22">
        <v>898.29100000000005</v>
      </c>
    </row>
    <row r="20" spans="1:9" x14ac:dyDescent="0.3">
      <c r="A20" s="12" t="s">
        <v>491</v>
      </c>
      <c r="B20" s="13">
        <v>-227.81800000000001</v>
      </c>
      <c r="C20" s="13">
        <v>-202.71100000000001</v>
      </c>
      <c r="D20" s="13">
        <v>-352.31599999999997</v>
      </c>
      <c r="E20" s="13">
        <v>-258.399</v>
      </c>
      <c r="F20" s="13">
        <v>-249.92</v>
      </c>
      <c r="G20" s="13">
        <v>-185.095</v>
      </c>
      <c r="H20" s="13">
        <v>-120.77800000000001</v>
      </c>
    </row>
    <row r="21" spans="1:9" x14ac:dyDescent="0.3">
      <c r="A21" s="14" t="s">
        <v>492</v>
      </c>
      <c r="B21" s="15">
        <v>2.9340000000000002</v>
      </c>
      <c r="C21" s="15">
        <v>-0.64200000000000002</v>
      </c>
      <c r="D21" s="15">
        <v>-2E-3</v>
      </c>
      <c r="E21" s="15">
        <v>15.62</v>
      </c>
      <c r="F21" s="15">
        <v>39.963999999999999</v>
      </c>
      <c r="G21" s="15">
        <v>39.558999999999997</v>
      </c>
      <c r="H21" s="15">
        <v>43.997999999999998</v>
      </c>
    </row>
    <row r="22" spans="1:9" x14ac:dyDescent="0.3">
      <c r="A22" s="17" t="s">
        <v>493</v>
      </c>
      <c r="B22" s="18">
        <v>2.9340000000000002</v>
      </c>
      <c r="C22" s="23">
        <v>-0.64200000000000002</v>
      </c>
      <c r="D22" s="23">
        <v>-2E-3</v>
      </c>
      <c r="E22" s="18">
        <v>15.62</v>
      </c>
      <c r="F22" s="18">
        <v>39.963999999999999</v>
      </c>
      <c r="G22" s="18">
        <v>39.558999999999997</v>
      </c>
      <c r="H22" s="18">
        <v>43.997999999999998</v>
      </c>
    </row>
    <row r="23" spans="1:9" x14ac:dyDescent="0.3">
      <c r="A23" s="14" t="s">
        <v>494</v>
      </c>
      <c r="B23" s="15">
        <v>0</v>
      </c>
      <c r="C23" s="15">
        <v>6.7679999999999998</v>
      </c>
      <c r="D23" s="15">
        <v>1.532</v>
      </c>
      <c r="E23" s="15">
        <v>1.056</v>
      </c>
      <c r="F23" s="15">
        <v>73.427000000000007</v>
      </c>
      <c r="G23" s="15">
        <v>4.8780000000000001</v>
      </c>
      <c r="H23" s="15">
        <v>4.8780000000000001</v>
      </c>
    </row>
    <row r="24" spans="1:9" x14ac:dyDescent="0.3">
      <c r="A24" s="24" t="s">
        <v>495</v>
      </c>
      <c r="B24" s="12"/>
      <c r="C24" s="13">
        <v>0</v>
      </c>
      <c r="D24" s="13">
        <v>1.532</v>
      </c>
      <c r="E24" s="13">
        <v>1.056</v>
      </c>
      <c r="F24" s="13">
        <v>4.7619999999999996</v>
      </c>
      <c r="G24" s="13">
        <v>4.0279999999999996</v>
      </c>
      <c r="H24" s="12"/>
    </row>
    <row r="25" spans="1:9" x14ac:dyDescent="0.3">
      <c r="A25" s="20" t="s">
        <v>496</v>
      </c>
      <c r="B25" s="25"/>
      <c r="C25" s="22">
        <v>0</v>
      </c>
      <c r="D25" s="22">
        <v>1.532</v>
      </c>
      <c r="E25" s="22">
        <v>1.056</v>
      </c>
      <c r="F25" s="22">
        <v>4.7619999999999996</v>
      </c>
      <c r="G25" s="22">
        <v>4.0279999999999996</v>
      </c>
      <c r="H25" s="25"/>
    </row>
    <row r="26" spans="1:9" x14ac:dyDescent="0.3">
      <c r="A26" s="17" t="s">
        <v>497</v>
      </c>
      <c r="B26" s="18">
        <v>0</v>
      </c>
      <c r="C26" s="18">
        <v>6.7679999999999998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</row>
    <row r="27" spans="1:9" x14ac:dyDescent="0.3">
      <c r="A27" s="16" t="s">
        <v>498</v>
      </c>
      <c r="B27" s="25"/>
      <c r="C27" s="25"/>
      <c r="D27" s="25"/>
      <c r="E27" s="25"/>
      <c r="F27" s="22">
        <v>68.665000000000006</v>
      </c>
      <c r="G27" s="22">
        <v>0.85</v>
      </c>
      <c r="H27" s="25"/>
    </row>
    <row r="28" spans="1:9" x14ac:dyDescent="0.3">
      <c r="A28" s="12" t="s">
        <v>499</v>
      </c>
      <c r="B28" s="13">
        <v>-224.88399999999999</v>
      </c>
      <c r="C28" s="13">
        <v>-210.12100000000001</v>
      </c>
      <c r="D28" s="13">
        <v>-353.85</v>
      </c>
      <c r="E28" s="13">
        <v>-243.83500000000001</v>
      </c>
      <c r="F28" s="13">
        <v>-283.38299999999998</v>
      </c>
      <c r="G28" s="13">
        <v>-150.41399999999999</v>
      </c>
      <c r="H28" s="13">
        <v>-81.658000000000001</v>
      </c>
      <c r="I28" s="133"/>
    </row>
    <row r="29" spans="1:9" x14ac:dyDescent="0.3">
      <c r="A29" s="14" t="s">
        <v>500</v>
      </c>
      <c r="B29" s="15">
        <v>0.34</v>
      </c>
      <c r="C29" s="15">
        <v>8.6999999999999994E-2</v>
      </c>
      <c r="D29" s="15">
        <v>1.1739999999999999</v>
      </c>
      <c r="E29" s="15">
        <v>3.5870000000000002</v>
      </c>
      <c r="F29" s="15">
        <v>3.343</v>
      </c>
      <c r="G29" s="15">
        <v>4.4930000000000003</v>
      </c>
      <c r="H29" s="15">
        <v>6.2709999999999999</v>
      </c>
    </row>
    <row r="30" spans="1:9" x14ac:dyDescent="0.3">
      <c r="A30" s="17" t="s">
        <v>501</v>
      </c>
      <c r="B30" s="18">
        <v>1E-3</v>
      </c>
      <c r="C30" s="18">
        <v>0.112</v>
      </c>
      <c r="D30" s="18">
        <v>5.2999999999999999E-2</v>
      </c>
      <c r="E30" s="18">
        <v>0.58499999999999996</v>
      </c>
      <c r="F30" s="18">
        <v>0.49399999999999999</v>
      </c>
      <c r="G30" s="18">
        <v>0.20100000000000001</v>
      </c>
      <c r="H30" s="26"/>
    </row>
    <row r="31" spans="1:9" x14ac:dyDescent="0.3">
      <c r="A31" s="16" t="s">
        <v>502</v>
      </c>
      <c r="B31" s="22">
        <v>0.33900000000000002</v>
      </c>
      <c r="C31" s="22">
        <v>0.27500000000000002</v>
      </c>
      <c r="D31" s="22">
        <v>8.2000000000000003E-2</v>
      </c>
      <c r="E31" s="22">
        <v>1.0069999999999999</v>
      </c>
      <c r="F31" s="22">
        <v>1.9179999999999999</v>
      </c>
      <c r="G31" s="22">
        <v>2.2189999999999999</v>
      </c>
      <c r="H31" s="25"/>
    </row>
    <row r="32" spans="1:9" x14ac:dyDescent="0.3">
      <c r="A32" s="17" t="s">
        <v>503</v>
      </c>
      <c r="B32" s="18">
        <v>0</v>
      </c>
      <c r="C32" s="23">
        <v>-0.3</v>
      </c>
      <c r="D32" s="18">
        <v>1.0389999999999999</v>
      </c>
      <c r="E32" s="18">
        <v>1.9950000000000001</v>
      </c>
      <c r="F32" s="18">
        <v>0.93100000000000005</v>
      </c>
      <c r="G32" s="18">
        <v>2.073</v>
      </c>
      <c r="H32" s="26"/>
    </row>
    <row r="33" spans="1:8" x14ac:dyDescent="0.3">
      <c r="A33" s="25" t="s">
        <v>504</v>
      </c>
      <c r="B33" s="27">
        <v>-225.22399999999999</v>
      </c>
      <c r="C33" s="27">
        <v>-210.208</v>
      </c>
      <c r="D33" s="27">
        <v>-355.024</v>
      </c>
      <c r="E33" s="27">
        <v>-247.422</v>
      </c>
      <c r="F33" s="27">
        <v>-286.726</v>
      </c>
      <c r="G33" s="27">
        <v>-154.90700000000001</v>
      </c>
      <c r="H33" s="27">
        <v>-87.929000000000002</v>
      </c>
    </row>
    <row r="34" spans="1:8" x14ac:dyDescent="0.3">
      <c r="A34" s="12" t="s">
        <v>505</v>
      </c>
      <c r="B34" s="13">
        <v>-225.22399999999999</v>
      </c>
      <c r="C34" s="13">
        <v>-210.208</v>
      </c>
      <c r="D34" s="13">
        <v>-355.024</v>
      </c>
      <c r="E34" s="13">
        <v>-247.422</v>
      </c>
      <c r="F34" s="13">
        <v>-286.726</v>
      </c>
      <c r="G34" s="13">
        <v>-154.90700000000001</v>
      </c>
      <c r="H34" s="13">
        <v>-87.929000000000002</v>
      </c>
    </row>
    <row r="35" spans="1:8" x14ac:dyDescent="0.3">
      <c r="A35" s="28" t="s">
        <v>506</v>
      </c>
      <c r="B35" s="22">
        <v>0</v>
      </c>
      <c r="C35" s="22">
        <v>9.6240000000000006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</row>
    <row r="36" spans="1:8" x14ac:dyDescent="0.3">
      <c r="A36" s="29" t="s">
        <v>507</v>
      </c>
      <c r="B36" s="23">
        <v>-225.22399999999999</v>
      </c>
      <c r="C36" s="23">
        <v>-219.83199999999999</v>
      </c>
      <c r="D36" s="23">
        <v>-355.024</v>
      </c>
      <c r="E36" s="23">
        <v>-247.422</v>
      </c>
      <c r="F36" s="23">
        <v>-286.726</v>
      </c>
      <c r="G36" s="23">
        <v>-154.90700000000001</v>
      </c>
      <c r="H36" s="23">
        <v>-87.929000000000002</v>
      </c>
    </row>
    <row r="37" spans="1:8" x14ac:dyDescent="0.3">
      <c r="A37" s="30" t="s">
        <v>508</v>
      </c>
      <c r="B37" s="30"/>
      <c r="C37" s="30"/>
      <c r="D37" s="30"/>
      <c r="E37" s="30"/>
      <c r="F37" s="30"/>
      <c r="G37" s="30"/>
      <c r="H37" s="30"/>
    </row>
    <row r="38" spans="1:8" x14ac:dyDescent="0.3">
      <c r="A38" s="29" t="s">
        <v>509</v>
      </c>
      <c r="B38" s="31">
        <v>-0.45011400000000001</v>
      </c>
      <c r="C38" s="31">
        <v>-0.42986999999999997</v>
      </c>
      <c r="D38" s="31">
        <v>-0.70023400000000002</v>
      </c>
      <c r="E38" s="31">
        <v>-0.47966700000000001</v>
      </c>
      <c r="F38" s="31">
        <v>-0.43996400000000002</v>
      </c>
      <c r="G38" s="31">
        <v>-0.27231300000000003</v>
      </c>
      <c r="H38" s="31">
        <v>-0.14782000000000001</v>
      </c>
    </row>
    <row r="39" spans="1:8" x14ac:dyDescent="0.3">
      <c r="A39" s="14" t="s">
        <v>510</v>
      </c>
      <c r="B39" s="32">
        <v>-0.4501</v>
      </c>
      <c r="C39" s="32">
        <v>-0.43930000000000002</v>
      </c>
      <c r="D39" s="32">
        <v>-0.70240000000000002</v>
      </c>
      <c r="E39" s="32">
        <v>-0.48110000000000003</v>
      </c>
      <c r="F39" s="32">
        <v>-0.53610000000000002</v>
      </c>
      <c r="G39" s="32">
        <v>-0.27839999999999998</v>
      </c>
      <c r="H39" s="32">
        <v>-0.15579999999999999</v>
      </c>
    </row>
    <row r="40" spans="1:8" x14ac:dyDescent="0.3">
      <c r="A40" s="17" t="s">
        <v>511</v>
      </c>
      <c r="B40" s="33">
        <v>500.37126000000001</v>
      </c>
      <c r="C40" s="33">
        <v>500.37126000000001</v>
      </c>
      <c r="D40" s="33">
        <v>505.47615999999999</v>
      </c>
      <c r="E40" s="33">
        <v>514.27922999999998</v>
      </c>
      <c r="F40" s="33">
        <v>534.87850100000003</v>
      </c>
      <c r="G40" s="33">
        <v>556.31744000000003</v>
      </c>
      <c r="H40" s="33">
        <v>571.73808399999996</v>
      </c>
    </row>
    <row r="41" spans="1:8" x14ac:dyDescent="0.3">
      <c r="A41" s="16" t="s">
        <v>512</v>
      </c>
      <c r="B41" s="34">
        <v>500.37126000000001</v>
      </c>
      <c r="C41" s="34">
        <v>500.37126000000001</v>
      </c>
      <c r="D41" s="34">
        <v>505.47615999999999</v>
      </c>
      <c r="E41" s="34">
        <v>524.16020900000001</v>
      </c>
      <c r="F41" s="34">
        <v>545.97352899999998</v>
      </c>
      <c r="G41" s="34">
        <v>565.71923900000002</v>
      </c>
      <c r="H41" s="34">
        <v>573.634637</v>
      </c>
    </row>
    <row r="42" spans="1:8" x14ac:dyDescent="0.3">
      <c r="A42" s="35" t="s">
        <v>513</v>
      </c>
      <c r="B42" s="36">
        <v>-0.4501</v>
      </c>
      <c r="C42" s="36">
        <v>-0.43930000000000002</v>
      </c>
      <c r="D42" s="36">
        <v>-0.70240000000000002</v>
      </c>
      <c r="E42" s="36">
        <v>-0.48110000000000003</v>
      </c>
      <c r="F42" s="36">
        <v>-0.53610000000000002</v>
      </c>
      <c r="G42" s="36">
        <v>-0.27839999999999998</v>
      </c>
      <c r="H42" s="36">
        <v>-0.15579999999999999</v>
      </c>
    </row>
    <row r="43" spans="1:8" x14ac:dyDescent="0.3">
      <c r="A43" s="16" t="s">
        <v>514</v>
      </c>
      <c r="B43" s="34">
        <v>500.37126000000001</v>
      </c>
      <c r="C43" s="34">
        <v>500.37126000000001</v>
      </c>
      <c r="D43" s="34">
        <v>505.47615999999999</v>
      </c>
      <c r="E43" s="34">
        <v>514.27922999999998</v>
      </c>
      <c r="F43" s="34">
        <v>534.87850100000003</v>
      </c>
      <c r="G43" s="34">
        <v>556.31744000000003</v>
      </c>
      <c r="H43" s="34">
        <v>571.73808399999996</v>
      </c>
    </row>
    <row r="44" spans="1:8" x14ac:dyDescent="0.3">
      <c r="A44" s="17" t="s">
        <v>512</v>
      </c>
      <c r="B44" s="33">
        <v>500.37126000000001</v>
      </c>
      <c r="C44" s="33">
        <v>500.37126000000001</v>
      </c>
      <c r="D44" s="33">
        <v>505.47615999999999</v>
      </c>
      <c r="E44" s="33">
        <v>524.16020900000001</v>
      </c>
      <c r="F44" s="33">
        <v>545.97352899999998</v>
      </c>
      <c r="G44" s="33">
        <v>565.71923900000002</v>
      </c>
      <c r="H44" s="33">
        <v>573.634637</v>
      </c>
    </row>
    <row r="45" spans="1:8" x14ac:dyDescent="0.3">
      <c r="A45" s="28" t="s">
        <v>515</v>
      </c>
      <c r="B45" s="25"/>
      <c r="C45" s="34">
        <v>90.305000000000007</v>
      </c>
      <c r="D45" s="34">
        <v>66.024000000000001</v>
      </c>
      <c r="E45" s="34">
        <v>47.542000000000002</v>
      </c>
      <c r="F45" s="34">
        <v>70.536000000000001</v>
      </c>
      <c r="G45" s="34">
        <v>74.944000000000003</v>
      </c>
      <c r="H45" s="25"/>
    </row>
    <row r="46" spans="1:8" x14ac:dyDescent="0.3">
      <c r="A46" s="12" t="s">
        <v>516</v>
      </c>
      <c r="B46" s="12"/>
      <c r="C46" s="12"/>
      <c r="D46" s="12"/>
      <c r="E46" s="12"/>
      <c r="F46" s="12"/>
      <c r="G46" s="12"/>
      <c r="H46" s="12"/>
    </row>
    <row r="47" spans="1:8" x14ac:dyDescent="0.3">
      <c r="A47" s="14" t="s">
        <v>516</v>
      </c>
      <c r="B47" s="15">
        <v>-203.01300000000001</v>
      </c>
      <c r="C47" s="15">
        <v>-165.59899999999999</v>
      </c>
      <c r="D47" s="15">
        <v>-302.85199999999998</v>
      </c>
      <c r="E47" s="15">
        <v>-181.661</v>
      </c>
      <c r="F47" s="15">
        <v>-137.61500000000001</v>
      </c>
      <c r="G47" s="15">
        <v>-47.634</v>
      </c>
      <c r="H47" s="15">
        <v>28.376999999999999</v>
      </c>
    </row>
    <row r="48" spans="1:8" x14ac:dyDescent="0.3">
      <c r="A48" s="17" t="s">
        <v>517</v>
      </c>
      <c r="B48" s="23">
        <v>-227.81800000000001</v>
      </c>
      <c r="C48" s="23">
        <v>-202.71100000000001</v>
      </c>
      <c r="D48" s="23">
        <v>-352.31599999999997</v>
      </c>
      <c r="E48" s="23">
        <v>-258.399</v>
      </c>
      <c r="F48" s="23">
        <v>-249.92</v>
      </c>
      <c r="G48" s="23">
        <v>-185.095</v>
      </c>
      <c r="H48" s="23">
        <v>-120.77800000000001</v>
      </c>
    </row>
    <row r="49" spans="1:8" x14ac:dyDescent="0.3">
      <c r="A49" s="16" t="s">
        <v>484</v>
      </c>
      <c r="B49" s="22">
        <v>24.805</v>
      </c>
      <c r="C49" s="22">
        <v>37.112000000000002</v>
      </c>
      <c r="D49" s="22">
        <v>49.463999999999999</v>
      </c>
      <c r="E49" s="22">
        <v>76.738</v>
      </c>
      <c r="F49" s="22">
        <v>112.30500000000001</v>
      </c>
      <c r="G49" s="22">
        <v>137.46100000000001</v>
      </c>
      <c r="H49" s="22">
        <v>149.155</v>
      </c>
    </row>
    <row r="50" spans="1:8" x14ac:dyDescent="0.3">
      <c r="A50" s="37" t="s">
        <v>518</v>
      </c>
      <c r="B50" s="10"/>
      <c r="C50" s="10"/>
      <c r="D50" s="10"/>
      <c r="E50" s="10"/>
      <c r="F50" s="10"/>
      <c r="G50" s="10"/>
      <c r="H50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7EAB-5347-481D-8582-AA08E62BE146}">
  <dimension ref="A1:G65"/>
  <sheetViews>
    <sheetView topLeftCell="A4" workbookViewId="0">
      <selection activeCell="B45" sqref="B45"/>
    </sheetView>
  </sheetViews>
  <sheetFormatPr defaultRowHeight="14.4" x14ac:dyDescent="0.3"/>
  <cols>
    <col min="1" max="1" width="63.44140625" bestFit="1" customWidth="1"/>
    <col min="2" max="4" width="7.5546875" bestFit="1" customWidth="1"/>
    <col min="5" max="7" width="7.6640625" bestFit="1" customWidth="1"/>
  </cols>
  <sheetData>
    <row r="1" spans="1:7" x14ac:dyDescent="0.3">
      <c r="A1" s="38" t="s">
        <v>468</v>
      </c>
      <c r="B1" s="10"/>
      <c r="C1" s="10"/>
      <c r="D1" s="10"/>
      <c r="E1" s="10"/>
      <c r="F1" s="10"/>
      <c r="G1" s="10"/>
    </row>
    <row r="2" spans="1:7" x14ac:dyDescent="0.3">
      <c r="A2" s="40" t="s">
        <v>469</v>
      </c>
      <c r="B2" s="10"/>
      <c r="C2" s="10"/>
      <c r="D2" s="10"/>
      <c r="E2" s="10"/>
      <c r="F2" s="10"/>
      <c r="G2" s="10"/>
    </row>
    <row r="3" spans="1:7" x14ac:dyDescent="0.3">
      <c r="A3" s="39"/>
      <c r="B3" s="39"/>
      <c r="C3" s="39"/>
      <c r="D3" s="39"/>
      <c r="E3" s="39"/>
      <c r="F3" s="39"/>
      <c r="G3" s="39"/>
    </row>
    <row r="5" spans="1:7" x14ac:dyDescent="0.3">
      <c r="A5" s="11" t="s">
        <v>470</v>
      </c>
      <c r="B5" s="11"/>
      <c r="C5" s="11"/>
      <c r="D5" s="11"/>
      <c r="E5" s="11"/>
      <c r="F5" s="11"/>
      <c r="G5" s="11"/>
    </row>
    <row r="6" spans="1:7" x14ac:dyDescent="0.3">
      <c r="A6" s="11" t="s">
        <v>471</v>
      </c>
      <c r="B6" s="11"/>
      <c r="C6" s="11"/>
      <c r="D6" s="11"/>
      <c r="E6" s="11"/>
      <c r="F6" s="11"/>
      <c r="G6" s="11"/>
    </row>
    <row r="7" spans="1:7" x14ac:dyDescent="0.3">
      <c r="A7" s="11" t="s">
        <v>472</v>
      </c>
      <c r="B7" s="11"/>
      <c r="C7" s="11"/>
      <c r="D7" s="11"/>
      <c r="E7" s="11"/>
      <c r="F7" s="11"/>
      <c r="G7" s="11"/>
    </row>
    <row r="8" spans="1:7" x14ac:dyDescent="0.3">
      <c r="A8" s="11"/>
      <c r="B8" s="11" t="s">
        <v>473</v>
      </c>
      <c r="C8" s="11" t="s">
        <v>474</v>
      </c>
      <c r="D8" s="11" t="s">
        <v>475</v>
      </c>
      <c r="E8" s="11" t="s">
        <v>476</v>
      </c>
      <c r="F8" s="11" t="s">
        <v>477</v>
      </c>
      <c r="G8" s="11" t="s">
        <v>478</v>
      </c>
    </row>
    <row r="9" spans="1:7" x14ac:dyDescent="0.3">
      <c r="A9" s="30" t="s">
        <v>519</v>
      </c>
      <c r="B9" s="30"/>
      <c r="C9" s="30"/>
      <c r="D9" s="30"/>
      <c r="E9" s="30"/>
      <c r="F9" s="30"/>
      <c r="G9" s="30"/>
    </row>
    <row r="10" spans="1:7" x14ac:dyDescent="0.3">
      <c r="A10" s="35" t="s">
        <v>520</v>
      </c>
      <c r="B10" s="13">
        <v>201.06899999999999</v>
      </c>
      <c r="C10" s="13">
        <v>399.887</v>
      </c>
      <c r="D10" s="13">
        <v>921.21799999999996</v>
      </c>
      <c r="E10" s="13">
        <v>689.86199999999997</v>
      </c>
      <c r="F10" s="13">
        <v>547.66200000000003</v>
      </c>
      <c r="G10" s="13">
        <v>694.798</v>
      </c>
    </row>
    <row r="11" spans="1:7" x14ac:dyDescent="0.3">
      <c r="A11" s="16" t="s">
        <v>521</v>
      </c>
      <c r="B11" s="22">
        <v>201.06899999999999</v>
      </c>
      <c r="C11" s="22">
        <v>399.887</v>
      </c>
      <c r="D11" s="22">
        <v>921.21799999999996</v>
      </c>
      <c r="E11" s="22">
        <v>200.67</v>
      </c>
      <c r="F11" s="22">
        <v>135.536</v>
      </c>
      <c r="G11" s="22">
        <v>227.57599999999999</v>
      </c>
    </row>
    <row r="12" spans="1:7" x14ac:dyDescent="0.3">
      <c r="A12" s="17" t="s">
        <v>522</v>
      </c>
      <c r="B12" s="18">
        <v>0</v>
      </c>
      <c r="C12" s="18">
        <v>0</v>
      </c>
      <c r="D12" s="18">
        <v>0</v>
      </c>
      <c r="E12" s="18">
        <v>489.19200000000001</v>
      </c>
      <c r="F12" s="18">
        <v>412.12599999999998</v>
      </c>
      <c r="G12" s="18">
        <v>467.22199999999998</v>
      </c>
    </row>
    <row r="13" spans="1:7" x14ac:dyDescent="0.3">
      <c r="A13" s="14" t="s">
        <v>523</v>
      </c>
      <c r="B13" s="15">
        <v>34.213000000000001</v>
      </c>
      <c r="C13" s="15">
        <v>42.247999999999998</v>
      </c>
      <c r="D13" s="15">
        <v>81.986999999999995</v>
      </c>
      <c r="E13" s="15">
        <v>124.867</v>
      </c>
      <c r="F13" s="15">
        <v>166.72900000000001</v>
      </c>
      <c r="G13" s="15">
        <v>240.21600000000001</v>
      </c>
    </row>
    <row r="14" spans="1:7" x14ac:dyDescent="0.3">
      <c r="A14" s="24" t="s">
        <v>524</v>
      </c>
      <c r="B14" s="13">
        <v>34.213000000000001</v>
      </c>
      <c r="C14" s="13">
        <v>42.247999999999998</v>
      </c>
      <c r="D14" s="13">
        <v>81.986999999999995</v>
      </c>
      <c r="E14" s="13">
        <v>122.867</v>
      </c>
      <c r="F14" s="13">
        <v>161.82900000000001</v>
      </c>
      <c r="G14" s="13">
        <v>234.01599999999999</v>
      </c>
    </row>
    <row r="15" spans="1:7" x14ac:dyDescent="0.3">
      <c r="A15" s="20" t="s">
        <v>525</v>
      </c>
      <c r="B15" s="22">
        <v>34.412999999999997</v>
      </c>
      <c r="C15" s="22">
        <v>45.448</v>
      </c>
      <c r="D15" s="22">
        <v>86.387</v>
      </c>
      <c r="E15" s="22">
        <v>122.867</v>
      </c>
      <c r="F15" s="22">
        <v>169.62899999999999</v>
      </c>
      <c r="G15" s="22">
        <v>243.11600000000001</v>
      </c>
    </row>
    <row r="16" spans="1:7" x14ac:dyDescent="0.3">
      <c r="A16" s="21" t="s">
        <v>526</v>
      </c>
      <c r="B16" s="23">
        <v>-0.2</v>
      </c>
      <c r="C16" s="23">
        <v>-3.2</v>
      </c>
      <c r="D16" s="23">
        <v>-4.4000000000000004</v>
      </c>
      <c r="E16" s="26"/>
      <c r="F16" s="23">
        <v>-7.8</v>
      </c>
      <c r="G16" s="23">
        <v>-9.1</v>
      </c>
    </row>
    <row r="17" spans="1:7" x14ac:dyDescent="0.3">
      <c r="A17" s="16" t="s">
        <v>527</v>
      </c>
      <c r="B17" s="22">
        <v>0</v>
      </c>
      <c r="C17" s="22">
        <v>0</v>
      </c>
      <c r="D17" s="22">
        <v>0</v>
      </c>
      <c r="E17" s="22">
        <v>2</v>
      </c>
      <c r="F17" s="22">
        <v>4.9000000000000004</v>
      </c>
      <c r="G17" s="22">
        <v>6.2</v>
      </c>
    </row>
    <row r="18" spans="1:7" x14ac:dyDescent="0.3">
      <c r="A18" s="35" t="s">
        <v>528</v>
      </c>
      <c r="B18" s="13">
        <v>16.515999999999998</v>
      </c>
      <c r="C18" s="13">
        <v>13.673999999999999</v>
      </c>
      <c r="D18" s="13">
        <v>33.067</v>
      </c>
      <c r="E18" s="13">
        <v>40.570999999999998</v>
      </c>
      <c r="F18" s="13">
        <v>22.238</v>
      </c>
      <c r="G18" s="13">
        <v>38.911000000000001</v>
      </c>
    </row>
    <row r="19" spans="1:7" x14ac:dyDescent="0.3">
      <c r="A19" s="16" t="s">
        <v>529</v>
      </c>
      <c r="B19" s="22">
        <v>16.515999999999998</v>
      </c>
      <c r="C19" s="22">
        <v>13.673999999999999</v>
      </c>
      <c r="D19" s="22">
        <v>33.067</v>
      </c>
      <c r="E19" s="22">
        <v>40.570999999999998</v>
      </c>
      <c r="F19" s="22">
        <v>22.238</v>
      </c>
      <c r="G19" s="22">
        <v>30.459</v>
      </c>
    </row>
    <row r="20" spans="1:7" x14ac:dyDescent="0.3">
      <c r="A20" s="17" t="s">
        <v>530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8.452</v>
      </c>
    </row>
    <row r="21" spans="1:7" x14ac:dyDescent="0.3">
      <c r="A21" s="14" t="s">
        <v>531</v>
      </c>
      <c r="B21" s="15">
        <v>10.945</v>
      </c>
      <c r="C21" s="15">
        <v>9.3209999999999997</v>
      </c>
      <c r="D21" s="15">
        <v>11.375999999999999</v>
      </c>
      <c r="E21" s="15">
        <v>20.189</v>
      </c>
      <c r="F21" s="15">
        <v>46.320999999999998</v>
      </c>
      <c r="G21" s="15">
        <v>51.905999999999999</v>
      </c>
    </row>
    <row r="22" spans="1:7" x14ac:dyDescent="0.3">
      <c r="A22" s="17" t="s">
        <v>532</v>
      </c>
      <c r="B22" s="18">
        <v>10.945</v>
      </c>
      <c r="C22" s="18">
        <v>9.3209999999999997</v>
      </c>
      <c r="D22" s="18">
        <v>11.375999999999999</v>
      </c>
      <c r="E22" s="18">
        <v>20.189</v>
      </c>
      <c r="F22" s="18">
        <v>46.320999999999998</v>
      </c>
      <c r="G22" s="18">
        <v>51.905999999999999</v>
      </c>
    </row>
    <row r="23" spans="1:7" x14ac:dyDescent="0.3">
      <c r="A23" s="28" t="s">
        <v>533</v>
      </c>
      <c r="B23" s="22">
        <v>262.74299999999999</v>
      </c>
      <c r="C23" s="22">
        <v>465.13</v>
      </c>
      <c r="D23" s="22">
        <v>1047.6479999999999</v>
      </c>
      <c r="E23" s="22">
        <v>875.48900000000003</v>
      </c>
      <c r="F23" s="22">
        <v>782.95</v>
      </c>
      <c r="G23" s="22">
        <v>1025.8309999999999</v>
      </c>
    </row>
    <row r="24" spans="1:7" x14ac:dyDescent="0.3">
      <c r="A24" s="35" t="s">
        <v>534</v>
      </c>
      <c r="B24" s="13">
        <v>202.227</v>
      </c>
      <c r="C24" s="13">
        <v>190.77600000000001</v>
      </c>
      <c r="D24" s="13">
        <v>171.19900000000001</v>
      </c>
      <c r="E24" s="13">
        <v>171.90199999999999</v>
      </c>
      <c r="F24" s="13">
        <v>136.94300000000001</v>
      </c>
      <c r="G24" s="13">
        <v>123.015</v>
      </c>
    </row>
    <row r="25" spans="1:7" x14ac:dyDescent="0.3">
      <c r="A25" s="19" t="s">
        <v>535</v>
      </c>
      <c r="B25" s="15">
        <v>208.60599999999999</v>
      </c>
      <c r="C25" s="15">
        <v>205.05099999999999</v>
      </c>
      <c r="D25" s="15">
        <v>193.01900000000001</v>
      </c>
      <c r="E25" s="15">
        <v>205.77</v>
      </c>
      <c r="F25" s="15">
        <v>188.666</v>
      </c>
      <c r="G25" s="15">
        <v>188.86799999999999</v>
      </c>
    </row>
    <row r="26" spans="1:7" x14ac:dyDescent="0.3">
      <c r="A26" s="21" t="s">
        <v>536</v>
      </c>
      <c r="B26" s="18">
        <v>0.13</v>
      </c>
      <c r="C26" s="18">
        <v>0.50800000000000001</v>
      </c>
      <c r="D26" s="18">
        <v>0.83399999999999996</v>
      </c>
      <c r="E26" s="18">
        <v>1.2569999999999999</v>
      </c>
      <c r="F26" s="18">
        <v>1.758</v>
      </c>
      <c r="G26" s="18">
        <v>6.5789999999999997</v>
      </c>
    </row>
    <row r="27" spans="1:7" x14ac:dyDescent="0.3">
      <c r="A27" s="20" t="s">
        <v>537</v>
      </c>
      <c r="B27" s="22">
        <v>48.926000000000002</v>
      </c>
      <c r="C27" s="22">
        <v>71.421999999999997</v>
      </c>
      <c r="D27" s="22">
        <v>57.758000000000003</v>
      </c>
      <c r="E27" s="22">
        <v>91.888999999999996</v>
      </c>
      <c r="F27" s="22">
        <v>104.934</v>
      </c>
      <c r="G27" s="22">
        <v>117.425</v>
      </c>
    </row>
    <row r="28" spans="1:7" x14ac:dyDescent="0.3">
      <c r="A28" s="21" t="s">
        <v>538</v>
      </c>
      <c r="B28" s="18">
        <v>159.55000000000001</v>
      </c>
      <c r="C28" s="18">
        <v>133.12100000000001</v>
      </c>
      <c r="D28" s="18">
        <v>134.42699999999999</v>
      </c>
      <c r="E28" s="18">
        <v>112.624</v>
      </c>
      <c r="F28" s="18">
        <v>81.974000000000004</v>
      </c>
      <c r="G28" s="18">
        <v>64.864000000000004</v>
      </c>
    </row>
    <row r="29" spans="1:7" x14ac:dyDescent="0.3">
      <c r="A29" s="16" t="s">
        <v>539</v>
      </c>
      <c r="B29" s="22">
        <v>6.3789999999999996</v>
      </c>
      <c r="C29" s="22">
        <v>14.275</v>
      </c>
      <c r="D29" s="22">
        <v>21.82</v>
      </c>
      <c r="E29" s="22">
        <v>33.868000000000002</v>
      </c>
      <c r="F29" s="22">
        <v>51.722999999999999</v>
      </c>
      <c r="G29" s="22">
        <v>65.852999999999994</v>
      </c>
    </row>
    <row r="30" spans="1:7" x14ac:dyDescent="0.3">
      <c r="A30" s="35" t="s">
        <v>540</v>
      </c>
      <c r="B30" s="13">
        <v>35.237000000000002</v>
      </c>
      <c r="C30" s="13">
        <v>34.421999999999997</v>
      </c>
      <c r="D30" s="13">
        <v>23.091999999999999</v>
      </c>
      <c r="E30" s="13">
        <v>136.197</v>
      </c>
      <c r="F30" s="13">
        <v>295.36799999999999</v>
      </c>
      <c r="G30" s="13">
        <v>300.87</v>
      </c>
    </row>
    <row r="31" spans="1:7" x14ac:dyDescent="0.3">
      <c r="A31" s="16" t="s">
        <v>541</v>
      </c>
      <c r="B31" s="22">
        <v>35.237000000000002</v>
      </c>
      <c r="C31" s="22">
        <v>34.421999999999997</v>
      </c>
      <c r="D31" s="22">
        <v>23.091999999999999</v>
      </c>
      <c r="E31" s="22">
        <v>136.197</v>
      </c>
      <c r="F31" s="22">
        <v>295.36799999999999</v>
      </c>
      <c r="G31" s="22">
        <v>300.87</v>
      </c>
    </row>
    <row r="32" spans="1:7" x14ac:dyDescent="0.3">
      <c r="A32" s="35" t="s">
        <v>542</v>
      </c>
      <c r="B32" s="13">
        <v>130.803</v>
      </c>
      <c r="C32" s="13">
        <v>196.30500000000001</v>
      </c>
      <c r="D32" s="13">
        <v>325.99</v>
      </c>
      <c r="E32" s="13">
        <v>433.42</v>
      </c>
      <c r="F32" s="13">
        <v>519.58399999999995</v>
      </c>
      <c r="G32" s="13">
        <v>574.58600000000001</v>
      </c>
    </row>
    <row r="33" spans="1:7" x14ac:dyDescent="0.3">
      <c r="A33" s="16" t="s">
        <v>543</v>
      </c>
      <c r="B33" s="22">
        <v>128.94300000000001</v>
      </c>
      <c r="C33" s="22">
        <v>194.45500000000001</v>
      </c>
      <c r="D33" s="22">
        <v>311.56799999999998</v>
      </c>
      <c r="E33" s="22">
        <v>417.06400000000002</v>
      </c>
      <c r="F33" s="22">
        <v>512.35199999999998</v>
      </c>
      <c r="G33" s="22">
        <v>571.59199999999998</v>
      </c>
    </row>
    <row r="34" spans="1:7" x14ac:dyDescent="0.3">
      <c r="A34" s="17" t="s">
        <v>544</v>
      </c>
      <c r="B34" s="18">
        <v>1.86</v>
      </c>
      <c r="C34" s="18">
        <v>1.85</v>
      </c>
      <c r="D34" s="18">
        <v>14.422000000000001</v>
      </c>
      <c r="E34" s="18">
        <v>16.356000000000002</v>
      </c>
      <c r="F34" s="18">
        <v>7.2320000000000002</v>
      </c>
      <c r="G34" s="18">
        <v>2.9940000000000002</v>
      </c>
    </row>
    <row r="35" spans="1:7" x14ac:dyDescent="0.3">
      <c r="A35" s="28" t="s">
        <v>545</v>
      </c>
      <c r="B35" s="22">
        <v>631.01</v>
      </c>
      <c r="C35" s="22">
        <v>886.63300000000004</v>
      </c>
      <c r="D35" s="22">
        <v>1567.9290000000001</v>
      </c>
      <c r="E35" s="22">
        <v>1617.008</v>
      </c>
      <c r="F35" s="22">
        <v>1734.845</v>
      </c>
      <c r="G35" s="22">
        <v>2024.3019999999999</v>
      </c>
    </row>
    <row r="36" spans="1:7" x14ac:dyDescent="0.3">
      <c r="A36" s="12" t="s">
        <v>546</v>
      </c>
      <c r="B36" s="12"/>
      <c r="C36" s="12"/>
      <c r="D36" s="12"/>
      <c r="E36" s="12"/>
      <c r="F36" s="12"/>
      <c r="G36" s="12"/>
    </row>
    <row r="37" spans="1:7" x14ac:dyDescent="0.3">
      <c r="A37" s="14" t="s">
        <v>547</v>
      </c>
      <c r="B37" s="30"/>
      <c r="C37" s="30"/>
      <c r="D37" s="30"/>
      <c r="E37" s="30"/>
      <c r="F37" s="30"/>
      <c r="G37" s="30"/>
    </row>
    <row r="38" spans="1:7" x14ac:dyDescent="0.3">
      <c r="A38" s="17" t="s">
        <v>548</v>
      </c>
      <c r="B38" s="18">
        <v>17.532</v>
      </c>
      <c r="C38" s="18">
        <v>22.312999999999999</v>
      </c>
      <c r="D38" s="18">
        <v>21.446999999999999</v>
      </c>
      <c r="E38" s="18">
        <v>22.047000000000001</v>
      </c>
      <c r="F38" s="18">
        <v>20.661000000000001</v>
      </c>
      <c r="G38" s="18">
        <v>15.656000000000001</v>
      </c>
    </row>
    <row r="39" spans="1:7" x14ac:dyDescent="0.3">
      <c r="A39" s="16" t="s">
        <v>549</v>
      </c>
      <c r="B39" s="22">
        <v>16.466999999999999</v>
      </c>
      <c r="C39" s="22">
        <v>19.399999999999999</v>
      </c>
      <c r="D39" s="22">
        <v>54.704999999999998</v>
      </c>
      <c r="E39" s="22">
        <v>30.143999999999998</v>
      </c>
      <c r="F39" s="22">
        <v>46.280999999999999</v>
      </c>
      <c r="G39" s="22">
        <v>64.016999999999996</v>
      </c>
    </row>
    <row r="40" spans="1:7" x14ac:dyDescent="0.3">
      <c r="A40" s="24" t="s">
        <v>550</v>
      </c>
      <c r="B40" s="13">
        <v>114.252</v>
      </c>
      <c r="C40" s="13">
        <v>170.22900000000001</v>
      </c>
      <c r="D40" s="13">
        <v>262.12700000000001</v>
      </c>
      <c r="E40" s="13">
        <v>389.96699999999998</v>
      </c>
      <c r="F40" s="13">
        <v>524.87400000000002</v>
      </c>
      <c r="G40" s="13">
        <v>681.673</v>
      </c>
    </row>
    <row r="41" spans="1:7" x14ac:dyDescent="0.3">
      <c r="A41" s="20" t="s">
        <v>551</v>
      </c>
      <c r="B41" s="22">
        <v>11.9</v>
      </c>
      <c r="C41" s="22">
        <v>12.548999999999999</v>
      </c>
      <c r="D41" s="22">
        <v>27.106999999999999</v>
      </c>
      <c r="E41" s="22">
        <v>36.03</v>
      </c>
      <c r="F41" s="22">
        <v>37.067999999999998</v>
      </c>
      <c r="G41" s="22">
        <v>43.442999999999998</v>
      </c>
    </row>
    <row r="42" spans="1:7" x14ac:dyDescent="0.3">
      <c r="A42" s="21" t="s">
        <v>552</v>
      </c>
      <c r="B42" s="18">
        <v>102.352</v>
      </c>
      <c r="C42" s="18">
        <v>157.68</v>
      </c>
      <c r="D42" s="18">
        <v>235.02</v>
      </c>
      <c r="E42" s="18">
        <v>353.93700000000001</v>
      </c>
      <c r="F42" s="18">
        <v>487.80599999999998</v>
      </c>
      <c r="G42" s="18">
        <v>638.23</v>
      </c>
    </row>
    <row r="43" spans="1:7" x14ac:dyDescent="0.3">
      <c r="A43" s="16" t="s">
        <v>553</v>
      </c>
      <c r="B43" s="22">
        <v>148.251</v>
      </c>
      <c r="C43" s="22">
        <v>211.94200000000001</v>
      </c>
      <c r="D43" s="22">
        <v>338.279</v>
      </c>
      <c r="E43" s="22">
        <v>442.15800000000002</v>
      </c>
      <c r="F43" s="22">
        <v>591.81600000000003</v>
      </c>
      <c r="G43" s="22">
        <v>761.346</v>
      </c>
    </row>
    <row r="44" spans="1:7" x14ac:dyDescent="0.3">
      <c r="A44" s="35" t="s">
        <v>554</v>
      </c>
      <c r="B44" s="12"/>
      <c r="C44" s="12"/>
      <c r="D44" s="12"/>
      <c r="E44" s="12"/>
      <c r="F44" s="12"/>
      <c r="G44" s="12"/>
    </row>
    <row r="45" spans="1:7" x14ac:dyDescent="0.3">
      <c r="A45" s="19" t="s">
        <v>555</v>
      </c>
      <c r="B45" s="15">
        <v>706.39800000000002</v>
      </c>
      <c r="C45" s="15">
        <v>1100.028</v>
      </c>
      <c r="D45" s="15">
        <v>123.51300000000001</v>
      </c>
      <c r="E45" s="15">
        <v>100.873</v>
      </c>
      <c r="F45" s="15">
        <v>78.83</v>
      </c>
      <c r="G45" s="15">
        <v>64.622</v>
      </c>
    </row>
    <row r="46" spans="1:7" x14ac:dyDescent="0.3">
      <c r="A46" s="21" t="s">
        <v>556</v>
      </c>
      <c r="B46" s="18">
        <v>539.61699999999996</v>
      </c>
      <c r="C46" s="18">
        <v>949.06700000000001</v>
      </c>
      <c r="D46" s="18">
        <v>0</v>
      </c>
      <c r="E46" s="18">
        <v>0</v>
      </c>
      <c r="F46" s="18">
        <v>0</v>
      </c>
      <c r="G46" s="18">
        <v>0</v>
      </c>
    </row>
    <row r="47" spans="1:7" x14ac:dyDescent="0.3">
      <c r="A47" s="20" t="s">
        <v>557</v>
      </c>
      <c r="B47" s="22">
        <v>166.78100000000001</v>
      </c>
      <c r="C47" s="22">
        <v>150.96100000000001</v>
      </c>
      <c r="D47" s="22">
        <v>123.51300000000001</v>
      </c>
      <c r="E47" s="22">
        <v>100.873</v>
      </c>
      <c r="F47" s="22">
        <v>78.83</v>
      </c>
      <c r="G47" s="22">
        <v>64.622</v>
      </c>
    </row>
    <row r="48" spans="1:7" x14ac:dyDescent="0.3">
      <c r="A48" s="24" t="s">
        <v>558</v>
      </c>
      <c r="B48" s="13">
        <v>117.32299999999999</v>
      </c>
      <c r="C48" s="13">
        <v>107.46599999999999</v>
      </c>
      <c r="D48" s="13">
        <v>117.19</v>
      </c>
      <c r="E48" s="13">
        <v>135.958</v>
      </c>
      <c r="F48" s="13">
        <v>149.05199999999999</v>
      </c>
      <c r="G48" s="13">
        <v>129.13800000000001</v>
      </c>
    </row>
    <row r="49" spans="1:7" x14ac:dyDescent="0.3">
      <c r="A49" s="20" t="s">
        <v>559</v>
      </c>
      <c r="B49" s="22">
        <v>0.64400000000000002</v>
      </c>
      <c r="C49" s="22">
        <v>1.0029999999999999</v>
      </c>
      <c r="D49" s="22">
        <v>6.6890000000000001</v>
      </c>
      <c r="E49" s="22">
        <v>9.5060000000000002</v>
      </c>
      <c r="F49" s="22">
        <v>9.9350000000000005</v>
      </c>
      <c r="G49" s="22">
        <v>6.6219999999999999</v>
      </c>
    </row>
    <row r="50" spans="1:7" x14ac:dyDescent="0.3">
      <c r="A50" s="21" t="s">
        <v>560</v>
      </c>
      <c r="B50" s="18">
        <v>116.679</v>
      </c>
      <c r="C50" s="18">
        <v>106.46299999999999</v>
      </c>
      <c r="D50" s="18">
        <v>110.501</v>
      </c>
      <c r="E50" s="18">
        <v>126.452</v>
      </c>
      <c r="F50" s="18">
        <v>139.11699999999999</v>
      </c>
      <c r="G50" s="18">
        <v>122.51600000000001</v>
      </c>
    </row>
    <row r="51" spans="1:7" x14ac:dyDescent="0.3">
      <c r="A51" s="16" t="s">
        <v>561</v>
      </c>
      <c r="B51" s="22">
        <v>971.97199999999998</v>
      </c>
      <c r="C51" s="22">
        <v>1419.4359999999999</v>
      </c>
      <c r="D51" s="22">
        <v>578.98199999999997</v>
      </c>
      <c r="E51" s="22">
        <v>678.98900000000003</v>
      </c>
      <c r="F51" s="22">
        <v>819.69799999999998</v>
      </c>
      <c r="G51" s="22">
        <v>955.10599999999999</v>
      </c>
    </row>
    <row r="52" spans="1:7" x14ac:dyDescent="0.3">
      <c r="A52" s="35" t="s">
        <v>562</v>
      </c>
      <c r="B52" s="12"/>
      <c r="C52" s="12"/>
      <c r="D52" s="12"/>
      <c r="E52" s="12"/>
      <c r="F52" s="12"/>
      <c r="G52" s="12"/>
    </row>
    <row r="53" spans="1:7" x14ac:dyDescent="0.3">
      <c r="A53" s="19" t="s">
        <v>563</v>
      </c>
      <c r="B53" s="15">
        <v>-340.96199999999999</v>
      </c>
      <c r="C53" s="15">
        <v>-532.803</v>
      </c>
      <c r="D53" s="15">
        <v>988.947</v>
      </c>
      <c r="E53" s="15">
        <v>938.01900000000001</v>
      </c>
      <c r="F53" s="15">
        <v>915.14700000000005</v>
      </c>
      <c r="G53" s="15">
        <v>1069.1959999999999</v>
      </c>
    </row>
    <row r="54" spans="1:7" x14ac:dyDescent="0.3">
      <c r="A54" s="21" t="s">
        <v>564</v>
      </c>
      <c r="B54" s="18">
        <v>0</v>
      </c>
      <c r="C54" s="18">
        <v>1E-3</v>
      </c>
      <c r="D54" s="18">
        <v>2.9000000000000001E-2</v>
      </c>
      <c r="E54" s="18">
        <v>0.03</v>
      </c>
      <c r="F54" s="18">
        <v>3.2000000000000001E-2</v>
      </c>
      <c r="G54" s="18">
        <v>3.5000000000000003E-2</v>
      </c>
    </row>
    <row r="55" spans="1:7" x14ac:dyDescent="0.3">
      <c r="A55" s="20" t="s">
        <v>565</v>
      </c>
      <c r="B55" s="22">
        <v>5.1319999999999997</v>
      </c>
      <c r="C55" s="22">
        <v>33.122</v>
      </c>
      <c r="D55" s="22">
        <v>1909.9639999999999</v>
      </c>
      <c r="E55" s="22">
        <v>2107.0129999999999</v>
      </c>
      <c r="F55" s="22">
        <v>2368.5970000000002</v>
      </c>
      <c r="G55" s="22">
        <v>2680.0120000000002</v>
      </c>
    </row>
    <row r="56" spans="1:7" x14ac:dyDescent="0.3">
      <c r="A56" s="21" t="s">
        <v>566</v>
      </c>
      <c r="B56" s="23">
        <v>-346.09399999999999</v>
      </c>
      <c r="C56" s="23">
        <v>-565.92600000000004</v>
      </c>
      <c r="D56" s="23">
        <v>-920.95</v>
      </c>
      <c r="E56" s="23">
        <v>-1168.3720000000001</v>
      </c>
      <c r="F56" s="23">
        <v>-1455.098</v>
      </c>
      <c r="G56" s="23">
        <v>-1610.0050000000001</v>
      </c>
    </row>
    <row r="57" spans="1:7" x14ac:dyDescent="0.3">
      <c r="A57" s="20" t="s">
        <v>567</v>
      </c>
      <c r="B57" s="22">
        <v>0</v>
      </c>
      <c r="C57" s="22">
        <v>0</v>
      </c>
      <c r="D57" s="27">
        <v>-9.6000000000000002E-2</v>
      </c>
      <c r="E57" s="25"/>
      <c r="F57" s="25"/>
      <c r="G57" s="25"/>
    </row>
    <row r="58" spans="1:7" x14ac:dyDescent="0.3">
      <c r="A58" s="21" t="s">
        <v>568</v>
      </c>
      <c r="B58" s="26"/>
      <c r="C58" s="26"/>
      <c r="D58" s="26"/>
      <c r="E58" s="23">
        <v>-0.65200000000000002</v>
      </c>
      <c r="F58" s="18">
        <v>1.6160000000000001</v>
      </c>
      <c r="G58" s="23">
        <v>-0.84599999999999997</v>
      </c>
    </row>
    <row r="59" spans="1:7" x14ac:dyDescent="0.3">
      <c r="A59" s="16" t="s">
        <v>569</v>
      </c>
      <c r="B59" s="27">
        <v>-340.96199999999999</v>
      </c>
      <c r="C59" s="27">
        <v>-532.803</v>
      </c>
      <c r="D59" s="22">
        <v>988.947</v>
      </c>
      <c r="E59" s="22">
        <v>938.01900000000001</v>
      </c>
      <c r="F59" s="22">
        <v>915.14700000000005</v>
      </c>
      <c r="G59" s="22">
        <v>1069.1959999999999</v>
      </c>
    </row>
    <row r="60" spans="1:7" x14ac:dyDescent="0.3">
      <c r="A60" s="17" t="s">
        <v>570</v>
      </c>
      <c r="B60" s="23">
        <v>-340.96199999999999</v>
      </c>
      <c r="C60" s="23">
        <v>-532.803</v>
      </c>
      <c r="D60" s="18">
        <v>988.947</v>
      </c>
      <c r="E60" s="18">
        <v>938.01900000000001</v>
      </c>
      <c r="F60" s="18">
        <v>915.14700000000005</v>
      </c>
      <c r="G60" s="18">
        <v>1069.1959999999999</v>
      </c>
    </row>
    <row r="61" spans="1:7" x14ac:dyDescent="0.3">
      <c r="A61" s="28" t="s">
        <v>571</v>
      </c>
      <c r="B61" s="22">
        <v>631.01</v>
      </c>
      <c r="C61" s="22">
        <v>886.63300000000004</v>
      </c>
      <c r="D61" s="22">
        <v>1567.9290000000001</v>
      </c>
      <c r="E61" s="22">
        <v>1617.008</v>
      </c>
      <c r="F61" s="22">
        <v>1734.845</v>
      </c>
      <c r="G61" s="22">
        <v>2024.3019999999999</v>
      </c>
    </row>
    <row r="62" spans="1:7" x14ac:dyDescent="0.3">
      <c r="A62" s="12" t="s">
        <v>508</v>
      </c>
      <c r="B62" s="12"/>
      <c r="C62" s="12"/>
      <c r="D62" s="12"/>
      <c r="E62" s="12"/>
      <c r="F62" s="12"/>
      <c r="G62" s="12"/>
    </row>
    <row r="63" spans="1:7" x14ac:dyDescent="0.3">
      <c r="A63" s="28" t="s">
        <v>572</v>
      </c>
      <c r="B63" s="42">
        <v>-0.68142000000000003</v>
      </c>
      <c r="C63" s="42">
        <v>-1.0648200000000001</v>
      </c>
      <c r="D63" s="34">
        <v>1.9564699999999999</v>
      </c>
      <c r="E63" s="34">
        <v>1.7895700000000001</v>
      </c>
      <c r="F63" s="34">
        <v>1.6761699999999999</v>
      </c>
      <c r="G63" s="34">
        <v>1.88998</v>
      </c>
    </row>
    <row r="64" spans="1:7" x14ac:dyDescent="0.3">
      <c r="A64" s="29" t="s">
        <v>573</v>
      </c>
      <c r="B64" s="31">
        <v>-0.68141799999999997</v>
      </c>
      <c r="C64" s="31">
        <v>-1.0648150000000001</v>
      </c>
      <c r="D64" s="33">
        <v>1.956466</v>
      </c>
      <c r="E64" s="33">
        <v>1.7895650000000001</v>
      </c>
      <c r="F64" s="33">
        <v>1.676175</v>
      </c>
      <c r="G64" s="33">
        <v>1.8899760000000001</v>
      </c>
    </row>
    <row r="65" spans="1:1" x14ac:dyDescent="0.3">
      <c r="A65" s="37" t="s">
        <v>518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1DF29-5745-4BC8-9BDE-CCCFB3A78832}">
  <dimension ref="A1:H53"/>
  <sheetViews>
    <sheetView topLeftCell="A10" workbookViewId="0">
      <selection activeCell="L35" sqref="L35"/>
    </sheetView>
  </sheetViews>
  <sheetFormatPr defaultRowHeight="14.4" x14ac:dyDescent="0.3"/>
  <cols>
    <col min="1" max="1" width="51.109375" bestFit="1" customWidth="1"/>
    <col min="2" max="7" width="7.5546875" bestFit="1" customWidth="1"/>
    <col min="8" max="8" width="7.44140625" bestFit="1" customWidth="1"/>
  </cols>
  <sheetData>
    <row r="1" spans="1:8" x14ac:dyDescent="0.3">
      <c r="A1" s="38" t="s">
        <v>468</v>
      </c>
      <c r="B1" s="10"/>
      <c r="C1" s="10"/>
      <c r="D1" s="10"/>
      <c r="E1" s="10"/>
      <c r="F1" s="10"/>
      <c r="G1" s="10"/>
      <c r="H1" s="10"/>
    </row>
    <row r="2" spans="1:8" x14ac:dyDescent="0.3">
      <c r="A2" s="40" t="s">
        <v>469</v>
      </c>
      <c r="B2" s="10"/>
      <c r="C2" s="10"/>
      <c r="D2" s="10"/>
      <c r="E2" s="10"/>
      <c r="F2" s="10"/>
      <c r="G2" s="10"/>
      <c r="H2" s="10"/>
    </row>
    <row r="3" spans="1:8" x14ac:dyDescent="0.3">
      <c r="A3" s="39"/>
      <c r="B3" s="39"/>
      <c r="C3" s="39"/>
      <c r="D3" s="39"/>
      <c r="E3" s="39"/>
      <c r="F3" s="39"/>
      <c r="G3" s="39"/>
      <c r="H3" s="39"/>
    </row>
    <row r="5" spans="1:8" x14ac:dyDescent="0.3">
      <c r="A5" s="11" t="s">
        <v>470</v>
      </c>
      <c r="B5" s="11"/>
      <c r="C5" s="11"/>
      <c r="D5" s="11"/>
      <c r="E5" s="11"/>
      <c r="F5" s="11"/>
      <c r="G5" s="11"/>
      <c r="H5" s="11"/>
    </row>
    <row r="6" spans="1:8" x14ac:dyDescent="0.3">
      <c r="A6" s="11" t="s">
        <v>471</v>
      </c>
      <c r="B6" s="11"/>
      <c r="C6" s="11"/>
      <c r="D6" s="11"/>
      <c r="E6" s="11"/>
      <c r="F6" s="11"/>
      <c r="G6" s="11"/>
      <c r="H6" s="11"/>
    </row>
    <row r="7" spans="1:8" x14ac:dyDescent="0.3">
      <c r="A7" s="11" t="s">
        <v>472</v>
      </c>
      <c r="B7" s="11"/>
      <c r="C7" s="11"/>
      <c r="D7" s="11"/>
      <c r="E7" s="11"/>
      <c r="F7" s="11"/>
      <c r="G7" s="11"/>
      <c r="H7" s="11"/>
    </row>
    <row r="8" spans="1:8" x14ac:dyDescent="0.3">
      <c r="A8" s="11"/>
      <c r="B8" s="11" t="s">
        <v>473</v>
      </c>
      <c r="C8" s="11" t="s">
        <v>474</v>
      </c>
      <c r="D8" s="11" t="s">
        <v>475</v>
      </c>
      <c r="E8" s="11" t="s">
        <v>476</v>
      </c>
      <c r="F8" s="11" t="s">
        <v>477</v>
      </c>
      <c r="G8" s="11" t="s">
        <v>478</v>
      </c>
      <c r="H8" s="11" t="s">
        <v>479</v>
      </c>
    </row>
    <row r="9" spans="1:8" x14ac:dyDescent="0.3">
      <c r="A9" s="11"/>
      <c r="B9" s="11"/>
      <c r="C9" s="11"/>
      <c r="D9" s="11"/>
      <c r="E9" s="11"/>
      <c r="F9" s="11"/>
      <c r="G9" s="11"/>
      <c r="H9" s="11" t="s">
        <v>480</v>
      </c>
    </row>
    <row r="10" spans="1:8" x14ac:dyDescent="0.3">
      <c r="A10" s="26" t="s">
        <v>574</v>
      </c>
      <c r="B10" s="26"/>
      <c r="C10" s="26"/>
      <c r="D10" s="26"/>
      <c r="E10" s="26"/>
      <c r="F10" s="26"/>
      <c r="G10" s="26"/>
      <c r="H10" s="26"/>
    </row>
    <row r="11" spans="1:8" x14ac:dyDescent="0.3">
      <c r="A11" s="30" t="s">
        <v>575</v>
      </c>
      <c r="B11" s="30"/>
      <c r="C11" s="30"/>
      <c r="D11" s="30"/>
      <c r="E11" s="30"/>
      <c r="F11" s="30"/>
      <c r="G11" s="30"/>
      <c r="H11" s="30"/>
    </row>
    <row r="12" spans="1:8" x14ac:dyDescent="0.3">
      <c r="A12" s="29" t="s">
        <v>576</v>
      </c>
      <c r="B12" s="31">
        <v>-225.22399999999999</v>
      </c>
      <c r="C12" s="31">
        <v>-200.584</v>
      </c>
      <c r="D12" s="31">
        <v>-355.024</v>
      </c>
      <c r="E12" s="31">
        <v>-247.422</v>
      </c>
      <c r="F12" s="31">
        <v>-286.726</v>
      </c>
      <c r="G12" s="31">
        <v>-154.90700000000001</v>
      </c>
      <c r="H12" s="31">
        <v>-87.929000000000002</v>
      </c>
    </row>
    <row r="13" spans="1:8" x14ac:dyDescent="0.3">
      <c r="A13" s="14" t="s">
        <v>577</v>
      </c>
      <c r="B13" s="32">
        <v>15.705</v>
      </c>
      <c r="C13" s="32">
        <v>17.111999999999998</v>
      </c>
      <c r="D13" s="32">
        <v>9.5640000000000001</v>
      </c>
      <c r="E13" s="32">
        <v>11.768000000000001</v>
      </c>
      <c r="F13" s="32">
        <v>15.526</v>
      </c>
      <c r="G13" s="32">
        <v>20.649000000000001</v>
      </c>
      <c r="H13" s="32">
        <v>22.102</v>
      </c>
    </row>
    <row r="14" spans="1:8" x14ac:dyDescent="0.3">
      <c r="A14" s="17" t="s">
        <v>578</v>
      </c>
      <c r="B14" s="33">
        <v>15.705</v>
      </c>
      <c r="C14" s="33">
        <v>17.111999999999998</v>
      </c>
      <c r="D14" s="33">
        <v>9.5640000000000001</v>
      </c>
      <c r="E14" s="33">
        <v>11.768000000000001</v>
      </c>
      <c r="F14" s="33">
        <v>15.526</v>
      </c>
      <c r="G14" s="33">
        <v>20.649000000000001</v>
      </c>
      <c r="H14" s="33">
        <v>22.102</v>
      </c>
    </row>
    <row r="15" spans="1:8" x14ac:dyDescent="0.3">
      <c r="A15" s="28" t="s">
        <v>579</v>
      </c>
      <c r="B15" s="34">
        <v>3.0950000000000002</v>
      </c>
      <c r="C15" s="34">
        <v>26.352</v>
      </c>
      <c r="D15" s="34">
        <v>237.709</v>
      </c>
      <c r="E15" s="34">
        <v>180.649</v>
      </c>
      <c r="F15" s="34">
        <v>238.19300000000001</v>
      </c>
      <c r="G15" s="34">
        <v>267.87</v>
      </c>
      <c r="H15" s="34">
        <v>290.37</v>
      </c>
    </row>
    <row r="16" spans="1:8" x14ac:dyDescent="0.3">
      <c r="A16" s="29" t="s">
        <v>580</v>
      </c>
      <c r="B16" s="31">
        <v>-206.42400000000001</v>
      </c>
      <c r="C16" s="31">
        <v>-157.12</v>
      </c>
      <c r="D16" s="31">
        <v>-107.751</v>
      </c>
      <c r="E16" s="31">
        <v>-55.005000000000003</v>
      </c>
      <c r="F16" s="31">
        <v>-33.006999999999998</v>
      </c>
      <c r="G16" s="33">
        <v>133.61199999999999</v>
      </c>
      <c r="H16" s="33">
        <v>224.54300000000001</v>
      </c>
    </row>
    <row r="17" spans="1:8" x14ac:dyDescent="0.3">
      <c r="A17" s="14" t="s">
        <v>581</v>
      </c>
      <c r="B17" s="32">
        <v>13.898999999999999</v>
      </c>
      <c r="C17" s="32">
        <v>-14.648999999999999</v>
      </c>
      <c r="D17" s="32">
        <v>-63.73</v>
      </c>
      <c r="E17" s="32">
        <v>-48.015999999999998</v>
      </c>
      <c r="F17" s="32">
        <v>21.192</v>
      </c>
      <c r="G17" s="32">
        <v>-1.9530000000000001</v>
      </c>
      <c r="H17" s="32">
        <v>-31.898</v>
      </c>
    </row>
    <row r="18" spans="1:8" x14ac:dyDescent="0.3">
      <c r="A18" s="17" t="s">
        <v>582</v>
      </c>
      <c r="B18" s="31">
        <v>-10.911</v>
      </c>
      <c r="C18" s="31">
        <v>-14.14</v>
      </c>
      <c r="D18" s="31">
        <v>-47.048999999999999</v>
      </c>
      <c r="E18" s="31">
        <v>-47.463999999999999</v>
      </c>
      <c r="F18" s="31">
        <v>-46.42</v>
      </c>
      <c r="G18" s="31">
        <v>-75.531000000000006</v>
      </c>
      <c r="H18" s="31">
        <v>-69.471000000000004</v>
      </c>
    </row>
    <row r="19" spans="1:8" x14ac:dyDescent="0.3">
      <c r="A19" s="16" t="s">
        <v>528</v>
      </c>
      <c r="B19" s="42">
        <v>-7.62</v>
      </c>
      <c r="C19" s="34">
        <v>2.843</v>
      </c>
      <c r="D19" s="42">
        <v>-19.393000000000001</v>
      </c>
      <c r="E19" s="42">
        <v>-7.5039999999999996</v>
      </c>
      <c r="F19" s="34">
        <v>18.332000000000001</v>
      </c>
      <c r="G19" s="42">
        <v>-22.416</v>
      </c>
      <c r="H19" s="42">
        <v>-17.952999999999999</v>
      </c>
    </row>
    <row r="20" spans="1:8" x14ac:dyDescent="0.3">
      <c r="A20" s="17" t="s">
        <v>549</v>
      </c>
      <c r="B20" s="33">
        <v>11.56</v>
      </c>
      <c r="C20" s="33">
        <v>16.25</v>
      </c>
      <c r="D20" s="33">
        <v>69.926000000000002</v>
      </c>
      <c r="E20" s="33">
        <v>13.484999999999999</v>
      </c>
      <c r="F20" s="33">
        <v>26.596</v>
      </c>
      <c r="G20" s="33">
        <v>37.283000000000001</v>
      </c>
      <c r="H20" s="33">
        <v>24.027999999999999</v>
      </c>
    </row>
    <row r="21" spans="1:8" x14ac:dyDescent="0.3">
      <c r="A21" s="16" t="s">
        <v>583</v>
      </c>
      <c r="B21" s="34">
        <v>20.87</v>
      </c>
      <c r="C21" s="42">
        <v>-19.602</v>
      </c>
      <c r="D21" s="42">
        <v>-67.213999999999999</v>
      </c>
      <c r="E21" s="42">
        <v>-6.5330000000000004</v>
      </c>
      <c r="F21" s="34">
        <v>22.684000000000001</v>
      </c>
      <c r="G21" s="34">
        <v>58.710999999999999</v>
      </c>
      <c r="H21" s="34">
        <v>31.498000000000001</v>
      </c>
    </row>
    <row r="22" spans="1:8" x14ac:dyDescent="0.3">
      <c r="A22" s="29" t="s">
        <v>584</v>
      </c>
      <c r="B22" s="31">
        <v>-192.52500000000001</v>
      </c>
      <c r="C22" s="31">
        <v>-171.76900000000001</v>
      </c>
      <c r="D22" s="31">
        <v>-171.48099999999999</v>
      </c>
      <c r="E22" s="31">
        <v>-103.021</v>
      </c>
      <c r="F22" s="31">
        <v>-11.815</v>
      </c>
      <c r="G22" s="33">
        <v>131.65899999999999</v>
      </c>
      <c r="H22" s="33">
        <v>192.64500000000001</v>
      </c>
    </row>
    <row r="23" spans="1:8" x14ac:dyDescent="0.3">
      <c r="A23" s="30" t="s">
        <v>585</v>
      </c>
      <c r="B23" s="30"/>
      <c r="C23" s="30"/>
      <c r="D23" s="30"/>
      <c r="E23" s="30"/>
      <c r="F23" s="30"/>
      <c r="G23" s="30"/>
      <c r="H23" s="30"/>
    </row>
    <row r="24" spans="1:8" x14ac:dyDescent="0.3">
      <c r="A24" s="35" t="s">
        <v>586</v>
      </c>
      <c r="B24" s="13">
        <v>-29.99</v>
      </c>
      <c r="C24" s="13">
        <v>-32.101999999999997</v>
      </c>
      <c r="D24" s="13">
        <v>-19.353000000000002</v>
      </c>
      <c r="E24" s="13">
        <v>-33.24</v>
      </c>
      <c r="F24" s="13">
        <v>-10.952999999999999</v>
      </c>
      <c r="G24" s="13">
        <v>-20.177</v>
      </c>
      <c r="H24" s="13">
        <v>-23.012</v>
      </c>
    </row>
    <row r="25" spans="1:8" x14ac:dyDescent="0.3">
      <c r="A25" s="16" t="s">
        <v>587</v>
      </c>
      <c r="B25" s="27">
        <v>-29.99</v>
      </c>
      <c r="C25" s="27">
        <v>-32.101999999999997</v>
      </c>
      <c r="D25" s="27">
        <v>-19.353000000000002</v>
      </c>
      <c r="E25" s="27">
        <v>-33.24</v>
      </c>
      <c r="F25" s="27">
        <v>-10.952999999999999</v>
      </c>
      <c r="G25" s="27">
        <v>-20.177</v>
      </c>
      <c r="H25" s="27">
        <v>-23.012</v>
      </c>
    </row>
    <row r="26" spans="1:8" x14ac:dyDescent="0.3">
      <c r="A26" s="35" t="s">
        <v>588</v>
      </c>
      <c r="B26" s="13">
        <v>0</v>
      </c>
      <c r="C26" s="13">
        <v>0</v>
      </c>
      <c r="D26" s="13">
        <v>0</v>
      </c>
      <c r="E26" s="13">
        <v>-598.99</v>
      </c>
      <c r="F26" s="13">
        <v>-67.683999999999997</v>
      </c>
      <c r="G26" s="13">
        <v>-46.244</v>
      </c>
      <c r="H26" s="13">
        <v>-96.516000000000005</v>
      </c>
    </row>
    <row r="27" spans="1:8" x14ac:dyDescent="0.3">
      <c r="A27" s="16" t="s">
        <v>589</v>
      </c>
      <c r="B27" s="22">
        <v>0</v>
      </c>
      <c r="C27" s="22">
        <v>0</v>
      </c>
      <c r="D27" s="22">
        <v>0</v>
      </c>
      <c r="E27" s="22">
        <v>685.61500000000001</v>
      </c>
      <c r="F27" s="22">
        <v>740.54600000000005</v>
      </c>
      <c r="G27" s="22">
        <v>649.47799999999995</v>
      </c>
      <c r="H27" s="22">
        <v>741.36699999999996</v>
      </c>
    </row>
    <row r="28" spans="1:8" x14ac:dyDescent="0.3">
      <c r="A28" s="17" t="s">
        <v>590</v>
      </c>
      <c r="B28" s="18">
        <v>0</v>
      </c>
      <c r="C28" s="18">
        <v>0</v>
      </c>
      <c r="D28" s="18">
        <v>0</v>
      </c>
      <c r="E28" s="18">
        <v>86.625</v>
      </c>
      <c r="F28" s="18">
        <v>672.86199999999997</v>
      </c>
      <c r="G28" s="18">
        <v>603.23400000000004</v>
      </c>
      <c r="H28" s="18">
        <v>644.851</v>
      </c>
    </row>
    <row r="29" spans="1:8" x14ac:dyDescent="0.3">
      <c r="A29" s="14" t="s">
        <v>579</v>
      </c>
      <c r="B29" s="15">
        <v>0</v>
      </c>
      <c r="C29" s="15">
        <v>-0.1</v>
      </c>
      <c r="D29" s="15">
        <v>-0.68200000000000005</v>
      </c>
      <c r="E29" s="15">
        <v>0.38200000000000001</v>
      </c>
      <c r="F29" s="15">
        <v>-0.05</v>
      </c>
      <c r="G29" s="15">
        <v>-0.2</v>
      </c>
      <c r="H29" s="15">
        <v>-0.3</v>
      </c>
    </row>
    <row r="30" spans="1:8" x14ac:dyDescent="0.3">
      <c r="A30" s="17" t="s">
        <v>591</v>
      </c>
      <c r="B30" s="18">
        <v>0</v>
      </c>
      <c r="C30" s="23">
        <v>-0.1</v>
      </c>
      <c r="D30" s="23">
        <v>-0.68200000000000005</v>
      </c>
      <c r="E30" s="18">
        <v>0</v>
      </c>
      <c r="F30" s="23">
        <v>-0.05</v>
      </c>
      <c r="G30" s="23">
        <v>-0.2</v>
      </c>
      <c r="H30" s="23">
        <v>-0.3</v>
      </c>
    </row>
    <row r="31" spans="1:8" x14ac:dyDescent="0.3">
      <c r="A31" s="16" t="s">
        <v>592</v>
      </c>
      <c r="B31" s="22">
        <v>0</v>
      </c>
      <c r="C31" s="22">
        <v>0</v>
      </c>
      <c r="D31" s="22">
        <v>0</v>
      </c>
      <c r="E31" s="22">
        <v>0.38200000000000001</v>
      </c>
      <c r="F31" s="22">
        <v>0</v>
      </c>
      <c r="G31" s="22">
        <v>0</v>
      </c>
      <c r="H31" s="22">
        <v>0</v>
      </c>
    </row>
    <row r="32" spans="1:8" x14ac:dyDescent="0.3">
      <c r="A32" s="29" t="s">
        <v>593</v>
      </c>
      <c r="B32" s="23">
        <v>-29.99</v>
      </c>
      <c r="C32" s="23">
        <v>-32.201999999999998</v>
      </c>
      <c r="D32" s="23">
        <v>-20.035</v>
      </c>
      <c r="E32" s="23">
        <v>-631.84799999999996</v>
      </c>
      <c r="F32" s="23">
        <v>-78.686999999999998</v>
      </c>
      <c r="G32" s="23">
        <v>-66.620999999999995</v>
      </c>
      <c r="H32" s="23">
        <v>-119.828</v>
      </c>
    </row>
    <row r="33" spans="1:8" x14ac:dyDescent="0.3">
      <c r="A33" s="30" t="s">
        <v>594</v>
      </c>
      <c r="B33" s="30"/>
      <c r="C33" s="30"/>
      <c r="D33" s="30"/>
      <c r="E33" s="30"/>
      <c r="F33" s="30"/>
      <c r="G33" s="30"/>
      <c r="H33" s="30"/>
    </row>
    <row r="34" spans="1:8" x14ac:dyDescent="0.3">
      <c r="A34" s="35" t="s">
        <v>595</v>
      </c>
      <c r="B34" s="36">
        <v>300.85500000000002</v>
      </c>
      <c r="C34" s="36">
        <v>402.142</v>
      </c>
      <c r="D34" s="36">
        <v>843.93600000000004</v>
      </c>
      <c r="E34" s="36">
        <v>15.515000000000001</v>
      </c>
      <c r="F34" s="36">
        <v>23.202000000000002</v>
      </c>
      <c r="G34" s="36">
        <v>28.798999999999999</v>
      </c>
      <c r="H34" s="36">
        <v>30.613</v>
      </c>
    </row>
    <row r="35" spans="1:8" x14ac:dyDescent="0.3">
      <c r="A35" s="16" t="s">
        <v>596</v>
      </c>
      <c r="B35" s="42">
        <v>-0.03</v>
      </c>
      <c r="C35" s="42">
        <v>-6.0999999999999999E-2</v>
      </c>
      <c r="D35" s="42">
        <v>-5.0000000000000001E-3</v>
      </c>
      <c r="E35" s="34">
        <v>0</v>
      </c>
      <c r="F35" s="34">
        <v>0</v>
      </c>
      <c r="G35" s="34">
        <v>0</v>
      </c>
      <c r="H35" s="34">
        <v>0</v>
      </c>
    </row>
    <row r="36" spans="1:8" x14ac:dyDescent="0.3">
      <c r="A36" s="24" t="s">
        <v>597</v>
      </c>
      <c r="B36" s="36">
        <v>300.88499999999999</v>
      </c>
      <c r="C36" s="36">
        <v>402.20299999999997</v>
      </c>
      <c r="D36" s="36">
        <v>843.94100000000003</v>
      </c>
      <c r="E36" s="36">
        <v>15.515000000000001</v>
      </c>
      <c r="F36" s="36">
        <v>23.202000000000002</v>
      </c>
      <c r="G36" s="36">
        <v>28.798999999999999</v>
      </c>
      <c r="H36" s="36">
        <v>30.613</v>
      </c>
    </row>
    <row r="37" spans="1:8" x14ac:dyDescent="0.3">
      <c r="A37" s="20" t="s">
        <v>598</v>
      </c>
      <c r="B37" s="34">
        <v>299.88799999999998</v>
      </c>
      <c r="C37" s="34">
        <v>399.82600000000002</v>
      </c>
      <c r="D37" s="34">
        <v>842.577</v>
      </c>
      <c r="E37" s="42">
        <v>-2.532</v>
      </c>
      <c r="F37" s="34">
        <v>0</v>
      </c>
      <c r="G37" s="34">
        <v>28.798999999999999</v>
      </c>
      <c r="H37" s="34">
        <v>28.798999999999999</v>
      </c>
    </row>
    <row r="38" spans="1:8" x14ac:dyDescent="0.3">
      <c r="A38" s="21" t="s">
        <v>599</v>
      </c>
      <c r="B38" s="33">
        <v>0.997</v>
      </c>
      <c r="C38" s="33">
        <v>2.3769999999999998</v>
      </c>
      <c r="D38" s="33">
        <v>1.3640000000000001</v>
      </c>
      <c r="E38" s="33">
        <v>18.047000000000001</v>
      </c>
      <c r="F38" s="33">
        <v>23.202000000000002</v>
      </c>
      <c r="G38" s="33">
        <v>0</v>
      </c>
      <c r="H38" s="33">
        <v>1.8140000000000001</v>
      </c>
    </row>
    <row r="39" spans="1:8" x14ac:dyDescent="0.3">
      <c r="A39" s="14" t="s">
        <v>600</v>
      </c>
      <c r="B39" s="32">
        <v>0</v>
      </c>
      <c r="C39" s="32">
        <v>-0.16800000000000001</v>
      </c>
      <c r="D39" s="32">
        <v>-0.54500000000000004</v>
      </c>
      <c r="E39" s="32">
        <v>-1.3029999999999999</v>
      </c>
      <c r="F39" s="32">
        <v>-2.2050000000000001</v>
      </c>
      <c r="G39" s="32">
        <v>-1.6910000000000001</v>
      </c>
      <c r="H39" s="32">
        <v>-1.4410000000000001</v>
      </c>
    </row>
    <row r="40" spans="1:8" x14ac:dyDescent="0.3">
      <c r="A40" s="24" t="s">
        <v>601</v>
      </c>
      <c r="B40" s="36">
        <v>0</v>
      </c>
      <c r="C40" s="36">
        <v>-0.16800000000000001</v>
      </c>
      <c r="D40" s="36">
        <v>-0.54500000000000004</v>
      </c>
      <c r="E40" s="36">
        <v>-1.3029999999999999</v>
      </c>
      <c r="F40" s="36">
        <v>-2.2050000000000001</v>
      </c>
      <c r="G40" s="36">
        <v>-1.6910000000000001</v>
      </c>
      <c r="H40" s="36">
        <v>-1.4410000000000001</v>
      </c>
    </row>
    <row r="41" spans="1:8" x14ac:dyDescent="0.3">
      <c r="A41" s="20" t="s">
        <v>602</v>
      </c>
      <c r="B41" s="34">
        <v>0</v>
      </c>
      <c r="C41" s="42">
        <v>-0.16800000000000001</v>
      </c>
      <c r="D41" s="42">
        <v>-0.54500000000000004</v>
      </c>
      <c r="E41" s="42">
        <v>-1.3029999999999999</v>
      </c>
      <c r="F41" s="42">
        <v>-2.2050000000000001</v>
      </c>
      <c r="G41" s="42">
        <v>-1.6910000000000001</v>
      </c>
      <c r="H41" s="42">
        <v>-1.4410000000000001</v>
      </c>
    </row>
    <row r="42" spans="1:8" x14ac:dyDescent="0.3">
      <c r="A42" s="35" t="s">
        <v>579</v>
      </c>
      <c r="B42" s="36">
        <v>-5.0019999999999998</v>
      </c>
      <c r="C42" s="36">
        <v>0</v>
      </c>
      <c r="D42" s="36">
        <v>-141.74700000000001</v>
      </c>
      <c r="E42" s="36">
        <v>0</v>
      </c>
      <c r="F42" s="36">
        <v>0</v>
      </c>
      <c r="G42" s="36">
        <v>-7.0000000000000001E-3</v>
      </c>
      <c r="H42" s="36">
        <v>-7.0000000000000001E-3</v>
      </c>
    </row>
    <row r="43" spans="1:8" x14ac:dyDescent="0.3">
      <c r="A43" s="16" t="s">
        <v>591</v>
      </c>
      <c r="B43" s="42">
        <v>-5.0019999999999998</v>
      </c>
      <c r="C43" s="34">
        <v>0</v>
      </c>
      <c r="D43" s="42">
        <v>-141.74700000000001</v>
      </c>
      <c r="E43" s="34">
        <v>0</v>
      </c>
      <c r="F43" s="34">
        <v>0</v>
      </c>
      <c r="G43" s="42">
        <v>-7.0000000000000001E-3</v>
      </c>
      <c r="H43" s="42">
        <v>-7.0000000000000001E-3</v>
      </c>
    </row>
    <row r="44" spans="1:8" x14ac:dyDescent="0.3">
      <c r="A44" s="29" t="s">
        <v>603</v>
      </c>
      <c r="B44" s="33">
        <v>295.85300000000001</v>
      </c>
      <c r="C44" s="33">
        <v>401.97399999999999</v>
      </c>
      <c r="D44" s="33">
        <v>701.64400000000001</v>
      </c>
      <c r="E44" s="33">
        <v>14.212</v>
      </c>
      <c r="F44" s="33">
        <v>20.997</v>
      </c>
      <c r="G44" s="33">
        <v>27.100999999999999</v>
      </c>
      <c r="H44" s="33">
        <v>29.164999999999999</v>
      </c>
    </row>
    <row r="45" spans="1:8" x14ac:dyDescent="0.3">
      <c r="A45" s="30" t="s">
        <v>604</v>
      </c>
      <c r="B45" s="30"/>
      <c r="C45" s="30"/>
      <c r="D45" s="30"/>
      <c r="E45" s="30"/>
      <c r="F45" s="30"/>
      <c r="G45" s="30"/>
      <c r="H45" s="30"/>
    </row>
    <row r="46" spans="1:8" x14ac:dyDescent="0.3">
      <c r="A46" s="29" t="s">
        <v>605</v>
      </c>
      <c r="B46" s="18">
        <v>0</v>
      </c>
      <c r="C46" s="18">
        <v>0</v>
      </c>
      <c r="D46" s="23">
        <v>-0.127</v>
      </c>
      <c r="E46" s="18">
        <v>0.113</v>
      </c>
      <c r="F46" s="18">
        <v>0.47699999999999998</v>
      </c>
      <c r="G46" s="23">
        <v>-1.083</v>
      </c>
      <c r="H46" s="18">
        <v>0.82399999999999995</v>
      </c>
    </row>
    <row r="47" spans="1:8" x14ac:dyDescent="0.3">
      <c r="A47" s="28" t="s">
        <v>606</v>
      </c>
      <c r="B47" s="22">
        <v>73.337999999999994</v>
      </c>
      <c r="C47" s="22">
        <v>198.00299999999999</v>
      </c>
      <c r="D47" s="22">
        <v>510.00099999999998</v>
      </c>
      <c r="E47" s="27">
        <v>-720.54399999999998</v>
      </c>
      <c r="F47" s="27">
        <v>-69.028000000000006</v>
      </c>
      <c r="G47" s="22">
        <v>91.055999999999997</v>
      </c>
      <c r="H47" s="22">
        <v>102.806</v>
      </c>
    </row>
    <row r="48" spans="1:8" x14ac:dyDescent="0.3">
      <c r="A48" s="35" t="s">
        <v>607</v>
      </c>
      <c r="B48" s="13">
        <v>-222.51499999999999</v>
      </c>
      <c r="C48" s="13">
        <v>-203.87100000000001</v>
      </c>
      <c r="D48" s="13">
        <v>-190.834</v>
      </c>
      <c r="E48" s="13">
        <v>-136.261</v>
      </c>
      <c r="F48" s="13">
        <v>-22.768000000000001</v>
      </c>
      <c r="G48" s="13">
        <v>111.482</v>
      </c>
      <c r="H48" s="13">
        <v>169.63300000000001</v>
      </c>
    </row>
    <row r="49" spans="1:8" x14ac:dyDescent="0.3">
      <c r="A49" s="16" t="s">
        <v>608</v>
      </c>
      <c r="B49" s="27">
        <v>-0.44469999999999998</v>
      </c>
      <c r="C49" s="27">
        <v>-0.407439</v>
      </c>
      <c r="D49" s="27">
        <v>-0.37753300000000001</v>
      </c>
      <c r="E49" s="27">
        <v>-0.264955</v>
      </c>
      <c r="F49" s="27">
        <v>-4.2567000000000001E-2</v>
      </c>
      <c r="G49" s="22">
        <v>0.20039299999999999</v>
      </c>
      <c r="H49" s="22">
        <v>0.29669699999999999</v>
      </c>
    </row>
    <row r="50" spans="1:8" x14ac:dyDescent="0.3">
      <c r="A50" s="17" t="s">
        <v>609</v>
      </c>
      <c r="B50" s="26"/>
      <c r="C50" s="26"/>
      <c r="D50" s="31">
        <v>-2.266105</v>
      </c>
      <c r="E50" s="31">
        <v>-1.9255469999999999</v>
      </c>
      <c r="F50" s="31">
        <v>-0.13093399999999999</v>
      </c>
      <c r="G50" s="33">
        <v>0.38911200000000001</v>
      </c>
      <c r="H50" s="33">
        <v>0.82393000000000005</v>
      </c>
    </row>
    <row r="51" spans="1:8" x14ac:dyDescent="0.3">
      <c r="A51" s="25" t="s">
        <v>610</v>
      </c>
      <c r="B51" s="25"/>
      <c r="C51" s="25"/>
      <c r="D51" s="25"/>
      <c r="E51" s="25"/>
      <c r="F51" s="25"/>
      <c r="G51" s="25"/>
      <c r="H51" s="25"/>
    </row>
    <row r="52" spans="1:8" x14ac:dyDescent="0.3">
      <c r="A52" s="26" t="s">
        <v>611</v>
      </c>
      <c r="B52" s="33">
        <v>1E-3</v>
      </c>
      <c r="C52" s="33">
        <v>3.1E-2</v>
      </c>
      <c r="D52" s="33">
        <v>0.46700000000000003</v>
      </c>
      <c r="E52" s="33">
        <v>0.60699999999999998</v>
      </c>
      <c r="F52" s="33">
        <v>2.1219999999999999</v>
      </c>
      <c r="G52" s="33">
        <v>3.4630000000000001</v>
      </c>
      <c r="H52" s="33">
        <v>2.4243199999999998</v>
      </c>
    </row>
    <row r="53" spans="1:8" x14ac:dyDescent="0.3">
      <c r="A53" s="37" t="s">
        <v>518</v>
      </c>
      <c r="B53" s="10"/>
      <c r="C53" s="10"/>
      <c r="D53" s="10"/>
      <c r="E53" s="10"/>
      <c r="F53" s="10"/>
      <c r="G53" s="10"/>
      <c r="H53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6CA5A68E2F1E40902AE7E4F28C8680" ma:contentTypeVersion="6" ma:contentTypeDescription="Create a new document." ma:contentTypeScope="" ma:versionID="2ecc901c6d389f9c2da978c2c1d90c11">
  <xsd:schema xmlns:xsd="http://www.w3.org/2001/XMLSchema" xmlns:xs="http://www.w3.org/2001/XMLSchema" xmlns:p="http://schemas.microsoft.com/office/2006/metadata/properties" xmlns:ns3="8f5e0aeb-3b59-4ee9-b53a-a6fdcb581ea4" targetNamespace="http://schemas.microsoft.com/office/2006/metadata/properties" ma:root="true" ma:fieldsID="9bf5233c147d865de27f9a17421112bf" ns3:_="">
    <xsd:import namespace="8f5e0aeb-3b59-4ee9-b53a-a6fdcb581e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5e0aeb-3b59-4ee9-b53a-a6fdcb581e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f5e0aeb-3b59-4ee9-b53a-a6fdcb581ea4" xsi:nil="true"/>
  </documentManagement>
</p:properties>
</file>

<file path=customXml/itemProps1.xml><?xml version="1.0" encoding="utf-8"?>
<ds:datastoreItem xmlns:ds="http://schemas.openxmlformats.org/officeDocument/2006/customXml" ds:itemID="{6DFE7307-308B-46B1-9386-F381A9B9E0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4274BA0-47D0-4873-9740-213A1B335E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5e0aeb-3b59-4ee9-b53a-a6fdcb581e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4F001C-F103-43BF-AB33-96B6BFF62B0F}">
  <ds:schemaRefs>
    <ds:schemaRef ds:uri="http://www.w3.org/XML/1998/namespace"/>
    <ds:schemaRef ds:uri="8f5e0aeb-3b59-4ee9-b53a-a6fdcb581ea4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Revenue Build</vt:lpstr>
      <vt:lpstr>Operating Model</vt:lpstr>
      <vt:lpstr>WACC</vt:lpstr>
      <vt:lpstr>DCF</vt:lpstr>
      <vt:lpstr>Multiple Periods</vt:lpstr>
      <vt:lpstr>Sheet1</vt:lpstr>
      <vt:lpstr>Sheet3</vt:lpstr>
      <vt:lpstr>Sheet4</vt:lpstr>
      <vt:lpstr>Sheet2</vt:lpstr>
      <vt:lpstr>IS</vt:lpstr>
      <vt:lpstr>BS</vt:lpstr>
      <vt:lpstr>CFS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Jeffrey Kim</cp:lastModifiedBy>
  <dcterms:created xsi:type="dcterms:W3CDTF">2013-04-03T15:49:21Z</dcterms:created>
  <dcterms:modified xsi:type="dcterms:W3CDTF">2026-07-18T02:55:50Z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0x010100BA6CA5A68E2F1E40902AE7E4F28C8680</vt:lpwstr>
  </property>
</Properties>
</file>