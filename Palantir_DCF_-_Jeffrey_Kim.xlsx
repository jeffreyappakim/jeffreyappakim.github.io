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cgvi\Downloads\"/>
    </mc:Choice>
  </mc:AlternateContent>
  <xr:revisionPtr revIDLastSave="0" documentId="8_{4597D970-AD23-4089-8245-A833D7237F0F}" xr6:coauthVersionLast="47" xr6:coauthVersionMax="47" xr10:uidLastSave="{00000000-0000-0000-0000-000000000000}"/>
  <bookViews>
    <workbookView xWindow="-108" yWindow="-108" windowWidth="23256" windowHeight="12456" activeTab="2" xr2:uid="{E84E4866-6AFB-4AA8-8D5A-E17F16E98DAC}"/>
  </bookViews>
  <sheets>
    <sheet name="Cover" sheetId="1" r:id="rId1"/>
    <sheet name="DCF" sheetId="8" r:id="rId2"/>
    <sheet name="WACC" sheetId="9" r:id="rId3"/>
    <sheet name="Shares" sheetId="10" r:id="rId4"/>
    <sheet name="IS - Annual" sheetId="2" r:id="rId5"/>
    <sheet name="CFS - Annual" sheetId="4" r:id="rId6"/>
    <sheet name="IS - Estimates" sheetId="6" r:id="rId7"/>
    <sheet name="CFS - Estimates" sheetId="7" r:id="rId8"/>
    <sheet name="IS - Quarterly" sheetId="3" r:id="rId9"/>
    <sheet name="CFS - Quarterly" sheetId="5" r:id="rId10"/>
  </sheets>
  <externalReferences>
    <externalReference r:id="rId11"/>
    <externalReference r:id="rId12"/>
  </externalReferences>
  <definedNames>
    <definedName name="dr" localSheetId="3">[1]DCF!$E$18</definedName>
    <definedName name="dr" localSheetId="2">[1]DCF!$E$18</definedName>
    <definedName name="dr">DCF!$E$18</definedName>
    <definedName name="tg" localSheetId="3">[1]DCF!$E$19</definedName>
    <definedName name="tg" localSheetId="2">[1]DCF!$E$19</definedName>
    <definedName name="tg">DCF!$E$19</definedName>
    <definedName name="tgr">[2]DCF!$E$19</definedName>
    <definedName name="wacc">[2]DCF!$E$18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0" l="1"/>
  <c r="P81" i="8" s="1"/>
  <c r="B22" i="10"/>
  <c r="B23" i="10" s="1"/>
  <c r="B24" i="10" s="1"/>
  <c r="B25" i="10" s="1"/>
  <c r="B26" i="10" s="1"/>
  <c r="B27" i="10" s="1"/>
  <c r="B28" i="10" s="1"/>
  <c r="B29" i="10" s="1"/>
  <c r="B30" i="10" s="1"/>
  <c r="E7" i="10"/>
  <c r="E21" i="10"/>
  <c r="E22" i="10"/>
  <c r="E23" i="10"/>
  <c r="E24" i="10"/>
  <c r="E25" i="10"/>
  <c r="E26" i="10"/>
  <c r="E27" i="10"/>
  <c r="E28" i="10"/>
  <c r="E29" i="10"/>
  <c r="E30" i="10"/>
  <c r="E32" i="10" l="1"/>
  <c r="E8" i="10" s="1"/>
  <c r="E9" i="10"/>
  <c r="E10" i="10" s="1"/>
  <c r="E11" i="10" s="1"/>
  <c r="P78" i="8" l="1"/>
  <c r="M71" i="8"/>
  <c r="L71" i="8"/>
  <c r="L72" i="8"/>
  <c r="D17" i="8"/>
  <c r="F10" i="9"/>
  <c r="F18" i="9"/>
  <c r="F20" i="9"/>
  <c r="F9" i="9" s="1"/>
  <c r="F16" i="9" l="1"/>
  <c r="F22" i="9" s="1"/>
  <c r="L66" i="8" l="1"/>
  <c r="K66" i="8"/>
  <c r="G35" i="8"/>
  <c r="L60" i="8"/>
  <c r="M60" i="8" s="1"/>
  <c r="K60" i="8"/>
  <c r="K49" i="8"/>
  <c r="L43" i="8"/>
  <c r="M43" i="8"/>
  <c r="P50" i="8"/>
  <c r="L50" i="8" s="1"/>
  <c r="M50" i="8" s="1"/>
  <c r="N50" i="8" s="1"/>
  <c r="O50" i="8" s="1"/>
  <c r="P52" i="8"/>
  <c r="P51" i="8"/>
  <c r="P49" i="8" s="1"/>
  <c r="K50" i="8"/>
  <c r="K43" i="8"/>
  <c r="K42" i="8" s="1"/>
  <c r="K59" i="8" s="1"/>
  <c r="N46" i="8"/>
  <c r="O46" i="8" s="1"/>
  <c r="P46" i="8" s="1"/>
  <c r="M46" i="8"/>
  <c r="N45" i="8"/>
  <c r="O45" i="8" s="1"/>
  <c r="P45" i="8" s="1"/>
  <c r="P43" i="8" s="1"/>
  <c r="M45" i="8"/>
  <c r="K46" i="8"/>
  <c r="L46" i="8" s="1"/>
  <c r="K44" i="8"/>
  <c r="L44" i="8" s="1"/>
  <c r="M44" i="8" s="1"/>
  <c r="N44" i="8" s="1"/>
  <c r="O44" i="8" s="1"/>
  <c r="P44" i="8" s="1"/>
  <c r="L45" i="8"/>
  <c r="K45" i="8"/>
  <c r="J55" i="8"/>
  <c r="J65" i="8"/>
  <c r="J66" i="8"/>
  <c r="J62" i="8"/>
  <c r="J59" i="8"/>
  <c r="J60" i="8"/>
  <c r="J54" i="8"/>
  <c r="J48" i="8"/>
  <c r="J49" i="8"/>
  <c r="J43" i="8"/>
  <c r="J42" i="8"/>
  <c r="J39" i="8"/>
  <c r="J38" i="8"/>
  <c r="I38" i="8"/>
  <c r="H38" i="8"/>
  <c r="G38" i="8"/>
  <c r="F38" i="8"/>
  <c r="E38" i="8"/>
  <c r="D38" i="8"/>
  <c r="J35" i="8"/>
  <c r="J63" i="8" s="1"/>
  <c r="I35" i="8"/>
  <c r="H35" i="8"/>
  <c r="F35" i="8"/>
  <c r="E35" i="8"/>
  <c r="D35" i="8"/>
  <c r="E32" i="8"/>
  <c r="F32" i="8"/>
  <c r="G32" i="8"/>
  <c r="H32" i="8"/>
  <c r="I32" i="8"/>
  <c r="J32" i="8"/>
  <c r="D32" i="8"/>
  <c r="D60" i="8" s="1"/>
  <c r="M25" i="8"/>
  <c r="J28" i="8"/>
  <c r="I28" i="8"/>
  <c r="I55" i="8" s="1"/>
  <c r="H28" i="8"/>
  <c r="H55" i="8" s="1"/>
  <c r="G28" i="8"/>
  <c r="G55" i="8" s="1"/>
  <c r="F28" i="8"/>
  <c r="F55" i="8" s="1"/>
  <c r="E28" i="8"/>
  <c r="D28" i="8"/>
  <c r="M22" i="8"/>
  <c r="L22" i="8"/>
  <c r="J22" i="8"/>
  <c r="F30" i="8"/>
  <c r="G30" i="8" s="1"/>
  <c r="H30" i="8" s="1"/>
  <c r="I30" i="8" s="1"/>
  <c r="J30" i="8" s="1"/>
  <c r="K30" i="8" s="1"/>
  <c r="L30" i="8" s="1"/>
  <c r="M30" i="8" s="1"/>
  <c r="E30" i="8"/>
  <c r="M20" i="8"/>
  <c r="D43" i="8"/>
  <c r="E41" i="8"/>
  <c r="F41" i="8" s="1"/>
  <c r="G41" i="8" s="1"/>
  <c r="H41" i="8" s="1"/>
  <c r="I41" i="8" s="1"/>
  <c r="J41" i="8" s="1"/>
  <c r="K41" i="8" s="1"/>
  <c r="L41" i="8" s="1"/>
  <c r="M41" i="8" s="1"/>
  <c r="N41" i="8" s="1"/>
  <c r="O41" i="8" s="1"/>
  <c r="P41" i="8" s="1"/>
  <c r="M40" i="8"/>
  <c r="N40" i="8" s="1"/>
  <c r="O40" i="8" s="1"/>
  <c r="P40" i="8" s="1"/>
  <c r="I65" i="8"/>
  <c r="G65" i="8"/>
  <c r="F65" i="8"/>
  <c r="E65" i="8"/>
  <c r="D65" i="8"/>
  <c r="H62" i="8"/>
  <c r="G62" i="8"/>
  <c r="F62" i="8"/>
  <c r="E62" i="8"/>
  <c r="D62" i="8"/>
  <c r="I59" i="8"/>
  <c r="H59" i="8"/>
  <c r="G59" i="8"/>
  <c r="F59" i="8"/>
  <c r="E54" i="8"/>
  <c r="D54" i="8"/>
  <c r="J25" i="8"/>
  <c r="H48" i="8"/>
  <c r="G48" i="8"/>
  <c r="F48" i="8"/>
  <c r="E48" i="8"/>
  <c r="D48" i="8"/>
  <c r="K22" i="8"/>
  <c r="H42" i="8"/>
  <c r="F42" i="8"/>
  <c r="E25" i="8"/>
  <c r="E49" i="8" s="1"/>
  <c r="D42" i="8"/>
  <c r="E20" i="8"/>
  <c r="F20" i="8" s="1"/>
  <c r="G20" i="8" s="1"/>
  <c r="H20" i="8" s="1"/>
  <c r="I20" i="8" s="1"/>
  <c r="J20" i="8" s="1"/>
  <c r="K20" i="8" s="1"/>
  <c r="L20" i="8" s="1"/>
  <c r="D18" i="8"/>
  <c r="O43" i="8" l="1"/>
  <c r="N43" i="8"/>
  <c r="L51" i="8"/>
  <c r="M51" i="8" s="1"/>
  <c r="N51" i="8" s="1"/>
  <c r="L52" i="8"/>
  <c r="M52" i="8" s="1"/>
  <c r="N52" i="8" s="1"/>
  <c r="O52" i="8" s="1"/>
  <c r="K65" i="8"/>
  <c r="M66" i="8"/>
  <c r="K62" i="8"/>
  <c r="O60" i="8"/>
  <c r="P60" i="8" s="1"/>
  <c r="N60" i="8"/>
  <c r="K48" i="8"/>
  <c r="L42" i="8"/>
  <c r="L65" i="8" s="1"/>
  <c r="I42" i="8"/>
  <c r="I25" i="8"/>
  <c r="I49" i="8" s="1"/>
  <c r="G25" i="8"/>
  <c r="G49" i="8" s="1"/>
  <c r="L25" i="8"/>
  <c r="D55" i="8"/>
  <c r="I48" i="8"/>
  <c r="F22" i="8"/>
  <c r="F43" i="8" s="1"/>
  <c r="K25" i="8"/>
  <c r="H39" i="8"/>
  <c r="H22" i="8"/>
  <c r="H43" i="8" s="1"/>
  <c r="H25" i="8"/>
  <c r="H49" i="8" s="1"/>
  <c r="I39" i="8"/>
  <c r="F54" i="8"/>
  <c r="D25" i="8"/>
  <c r="D49" i="8" s="1"/>
  <c r="E55" i="8"/>
  <c r="E42" i="8"/>
  <c r="G54" i="8"/>
  <c r="D59" i="8"/>
  <c r="H65" i="8"/>
  <c r="N71" i="8"/>
  <c r="O71" i="8" s="1"/>
  <c r="P71" i="8" s="1"/>
  <c r="E39" i="8"/>
  <c r="H54" i="8"/>
  <c r="E59" i="8"/>
  <c r="E22" i="8"/>
  <c r="E43" i="8" s="1"/>
  <c r="D63" i="8"/>
  <c r="G22" i="8"/>
  <c r="G63" i="8" s="1"/>
  <c r="F25" i="8"/>
  <c r="F49" i="8" s="1"/>
  <c r="F39" i="8"/>
  <c r="G42" i="8"/>
  <c r="I54" i="8"/>
  <c r="D66" i="8"/>
  <c r="G39" i="8"/>
  <c r="I62" i="8"/>
  <c r="I22" i="8"/>
  <c r="I43" i="8" s="1"/>
  <c r="M49" i="8" l="1"/>
  <c r="L49" i="8"/>
  <c r="L48" i="8" s="1"/>
  <c r="O51" i="8"/>
  <c r="O49" i="8" s="1"/>
  <c r="N49" i="8"/>
  <c r="N66" i="8"/>
  <c r="O66" i="8" s="1"/>
  <c r="L59" i="8"/>
  <c r="L62" i="8"/>
  <c r="M42" i="8"/>
  <c r="M65" i="8" s="1"/>
  <c r="F66" i="8"/>
  <c r="F63" i="8"/>
  <c r="K63" i="8" s="1"/>
  <c r="F60" i="8"/>
  <c r="H63" i="8"/>
  <c r="H60" i="8"/>
  <c r="H66" i="8"/>
  <c r="E60" i="8"/>
  <c r="I66" i="8"/>
  <c r="E63" i="8"/>
  <c r="E66" i="8"/>
  <c r="I60" i="8"/>
  <c r="G43" i="8"/>
  <c r="G66" i="8"/>
  <c r="G60" i="8"/>
  <c r="I63" i="8"/>
  <c r="P66" i="8" l="1"/>
  <c r="M59" i="8"/>
  <c r="M62" i="8"/>
  <c r="L63" i="8"/>
  <c r="M63" i="8" s="1"/>
  <c r="N42" i="8"/>
  <c r="N65" i="8" s="1"/>
  <c r="M48" i="8"/>
  <c r="N59" i="8" l="1"/>
  <c r="N62" i="8"/>
  <c r="N63" i="8"/>
  <c r="O63" i="8" s="1"/>
  <c r="P63" i="8" s="1"/>
  <c r="O42" i="8"/>
  <c r="O65" i="8" s="1"/>
  <c r="N48" i="8"/>
  <c r="O59" i="8" l="1"/>
  <c r="O62" i="8"/>
  <c r="P42" i="8"/>
  <c r="O48" i="8"/>
  <c r="P62" i="8" l="1"/>
  <c r="P65" i="8"/>
  <c r="P48" i="8"/>
  <c r="P59" i="8"/>
  <c r="P54" i="8" l="1"/>
  <c r="P57" i="8" s="1"/>
  <c r="K54" i="8"/>
  <c r="K57" i="8" s="1"/>
  <c r="L55" i="8"/>
  <c r="L54" i="8" s="1"/>
  <c r="L57" i="8" s="1"/>
  <c r="L68" i="8" l="1"/>
  <c r="L69" i="8" s="1"/>
  <c r="P68" i="8"/>
  <c r="P74" i="8" s="1"/>
  <c r="P75" i="8" s="1"/>
  <c r="K68" i="8"/>
  <c r="K69" i="8" s="1"/>
  <c r="M55" i="8"/>
  <c r="P69" i="8" l="1"/>
  <c r="N55" i="8"/>
  <c r="M54" i="8"/>
  <c r="M57" i="8" s="1"/>
  <c r="M68" i="8" s="1"/>
  <c r="M69" i="8" s="1"/>
  <c r="N54" i="8" l="1"/>
  <c r="N57" i="8" s="1"/>
  <c r="N68" i="8" s="1"/>
  <c r="N69" i="8" s="1"/>
  <c r="O55" i="8"/>
  <c r="O54" i="8" s="1"/>
  <c r="O57" i="8" s="1"/>
  <c r="O68" i="8" s="1"/>
  <c r="O69" i="8" s="1"/>
  <c r="P77" i="8" l="1"/>
  <c r="P80" i="8" s="1"/>
  <c r="P82" i="8" s="1"/>
  <c r="G4" i="8" s="1"/>
  <c r="G5" i="8" s="1"/>
</calcChain>
</file>

<file path=xl/sharedStrings.xml><?xml version="1.0" encoding="utf-8"?>
<sst xmlns="http://schemas.openxmlformats.org/spreadsheetml/2006/main" count="549" uniqueCount="242">
  <si>
    <t>x`</t>
  </si>
  <si>
    <t>Cover</t>
  </si>
  <si>
    <t>x</t>
  </si>
  <si>
    <t>Agenda</t>
  </si>
  <si>
    <t>1. Palantir Situation Overview</t>
  </si>
  <si>
    <t>2. Trading Comps</t>
  </si>
  <si>
    <t>3. Street-Based DCF</t>
  </si>
  <si>
    <t>4. Calculating Diluted Share Count</t>
  </si>
  <si>
    <t>5. WACC, Mid-Year Convention</t>
  </si>
  <si>
    <t>6. Price discussion</t>
  </si>
  <si>
    <t>Situation Overview</t>
  </si>
  <si>
    <t>The Bull Case</t>
  </si>
  <si>
    <t>1. Leader in AI, offering Gotham, Foundry, and the Artificial Intelligence Platform (AIP)</t>
  </si>
  <si>
    <t>2. Crushed the most recent quarter (Q3 2024), reporting a 30% year-over-year revenue increase, marking six consecutive quarters of accelerating growth</t>
  </si>
  <si>
    <t>3. Strategic partnerships with the government create a strong moat for the company</t>
  </si>
  <si>
    <t>The Bear Case</t>
  </si>
  <si>
    <t>1. High valuation means the stock is priced for perfection; increasing short activity</t>
  </si>
  <si>
    <t>2. Over reliance on government relationships and top customers mean that any churn could materially hurt revenue and momentum</t>
  </si>
  <si>
    <t>3. Extremely competitive market with lots of execution risk particularly in the commerical space</t>
  </si>
  <si>
    <t>All figures in millions of U.S. Dollar except per share items.</t>
  </si>
  <si>
    <t>Depreciation &amp; Amortization Expense</t>
  </si>
  <si>
    <t>EBIT</t>
  </si>
  <si>
    <t>EBITDA</t>
  </si>
  <si>
    <t>Earnings Persistence</t>
  </si>
  <si>
    <t>Total Shares Outstanding</t>
  </si>
  <si>
    <t>Diluted Shares Outstanding</t>
  </si>
  <si>
    <t>EPS (diluted)</t>
  </si>
  <si>
    <t>Basic Shares Outstanding</t>
  </si>
  <si>
    <t>EPS (basic)</t>
  </si>
  <si>
    <t>EPS (recurring)</t>
  </si>
  <si>
    <t>Per Share</t>
  </si>
  <si>
    <t>Net Income available to Common</t>
  </si>
  <si>
    <t>Preferred Dividends</t>
  </si>
  <si>
    <t>Net Income</t>
  </si>
  <si>
    <t>Minority Interest</t>
  </si>
  <si>
    <t>Consolidated Net Income</t>
  </si>
  <si>
    <t>Other After Tax Adjustments</t>
  </si>
  <si>
    <t>Income Taxes - Deferred Foreign</t>
  </si>
  <si>
    <t>Income Taxes - Deferred Domestic</t>
  </si>
  <si>
    <t>Income Taxes - Current Foreign</t>
  </si>
  <si>
    <t>Income Taxes - Current Domestic</t>
  </si>
  <si>
    <t>Income Taxes</t>
  </si>
  <si>
    <t>Pretax Income</t>
  </si>
  <si>
    <t>Hedges/Derivatives</t>
  </si>
  <si>
    <t>Investments</t>
  </si>
  <si>
    <t>Unrealized Valuation Gain/Loss</t>
  </si>
  <si>
    <t>Restructuring Expense</t>
  </si>
  <si>
    <t>Unusual Expense - Net</t>
  </si>
  <si>
    <t>Gross Interest Expense</t>
  </si>
  <si>
    <t>Interest Expense</t>
  </si>
  <si>
    <t>Other Income (Expense)</t>
  </si>
  <si>
    <t>Nonoperating Interest Income</t>
  </si>
  <si>
    <t>Nonoperating Income - Net</t>
  </si>
  <si>
    <t>EBIT (Operating Income)</t>
  </si>
  <si>
    <t>Other SG&amp;A</t>
  </si>
  <si>
    <t>Research &amp; Development</t>
  </si>
  <si>
    <t>SG&amp;A Expense</t>
  </si>
  <si>
    <t>Gross Income</t>
  </si>
  <si>
    <t>Amortization of Intangibles</t>
  </si>
  <si>
    <t>Depreciation</t>
  </si>
  <si>
    <t>COGS excluding D&amp;A</t>
  </si>
  <si>
    <t>Cost of Goods Sold (COGS) incl. D&amp;A</t>
  </si>
  <si>
    <t>Sales</t>
  </si>
  <si>
    <t>LTM</t>
  </si>
  <si>
    <t>DEC '18</t>
  </si>
  <si>
    <t>DEC '19</t>
  </si>
  <si>
    <t>DEC '20</t>
  </si>
  <si>
    <t>DEC '21</t>
  </si>
  <si>
    <t>DEC '22</t>
  </si>
  <si>
    <t>DEC '23</t>
  </si>
  <si>
    <t>DEC '24</t>
  </si>
  <si>
    <t>SEP '25</t>
  </si>
  <si>
    <t>Source: FactSet Fundamentals</t>
  </si>
  <si>
    <t xml:space="preserve">PLTR   69608A108   BN78DQ4   NASDAQ    Common stock    </t>
  </si>
  <si>
    <t>Palantir Technologies Inc. Class A</t>
  </si>
  <si>
    <t>$178.40</t>
  </si>
  <si>
    <t>Palantir Technologies Inc. Class A (PLTR)</t>
  </si>
  <si>
    <t>JUN '23</t>
  </si>
  <si>
    <t>SEP '23</t>
  </si>
  <si>
    <t>MAR '24</t>
  </si>
  <si>
    <t>JUN '24</t>
  </si>
  <si>
    <t>SEP '24</t>
  </si>
  <si>
    <t>MAR '25</t>
  </si>
  <si>
    <t>JUN '25</t>
  </si>
  <si>
    <t>Free Cash Flow Yield (%)</t>
  </si>
  <si>
    <t>Free Cash Flow per Share</t>
  </si>
  <si>
    <t>Free Cash Flow</t>
  </si>
  <si>
    <t>Net Change in Cash</t>
  </si>
  <si>
    <t>Exchange Rate Effect</t>
  </si>
  <si>
    <t>All Activities</t>
  </si>
  <si>
    <t>Net Financing Cash Flow</t>
  </si>
  <si>
    <t>Other Sources</t>
  </si>
  <si>
    <t>Other Uses</t>
  </si>
  <si>
    <t>Other Funds</t>
  </si>
  <si>
    <t>Reduction in Long-Term Debt</t>
  </si>
  <si>
    <t>Issuance of Long-Term Debt</t>
  </si>
  <si>
    <t>Change in Long-Term Debt</t>
  </si>
  <si>
    <t>Issuance/Reduction of Debt, Net</t>
  </si>
  <si>
    <t>Proceeds from Stock Options</t>
  </si>
  <si>
    <t>Proceeds from Sale of Stock</t>
  </si>
  <si>
    <t>Sale of Common &amp; Preferred Stock</t>
  </si>
  <si>
    <t>Repurchase of Common &amp; Preferred Stk.</t>
  </si>
  <si>
    <t>Change in Capital Stock</t>
  </si>
  <si>
    <t>Financing Activities</t>
  </si>
  <si>
    <t>Net Investing Cash Flow</t>
  </si>
  <si>
    <t>Sale/Maturity of Investments</t>
  </si>
  <si>
    <t>Purchase of Investments</t>
  </si>
  <si>
    <t>Purchase/Sale of Investments</t>
  </si>
  <si>
    <t>Sale of Fixed Assets &amp; Businesses</t>
  </si>
  <si>
    <t>Net Assets from Acquisitions</t>
  </si>
  <si>
    <t>Capital Expenditures (Fixed Assets)</t>
  </si>
  <si>
    <t>Capital Expenditures</t>
  </si>
  <si>
    <t>Investing Activities</t>
  </si>
  <si>
    <t>Net Operating Cash Flow</t>
  </si>
  <si>
    <t>Other Assets/Liabilities</t>
  </si>
  <si>
    <t>Other Accruals</t>
  </si>
  <si>
    <t>Accounts Payable</t>
  </si>
  <si>
    <t>Receivables</t>
  </si>
  <si>
    <t>Changes in Working Capital</t>
  </si>
  <si>
    <t>Funds from Operations</t>
  </si>
  <si>
    <t>Deferred Taxes</t>
  </si>
  <si>
    <t>Deferred Taxes &amp; Investment Tax Credit</t>
  </si>
  <si>
    <t>Amortization of Intangible Assets</t>
  </si>
  <si>
    <t>Depreciation and Depletion</t>
  </si>
  <si>
    <t>Depreciation, Depletion &amp; Amortization</t>
  </si>
  <si>
    <t>Net Income / Starting Line</t>
  </si>
  <si>
    <t>Operating Activities</t>
  </si>
  <si>
    <t>Tax Expense</t>
  </si>
  <si>
    <t>-</t>
  </si>
  <si>
    <t>Interest Income</t>
  </si>
  <si>
    <t>Guidance (High)</t>
  </si>
  <si>
    <t>Guidance (Low)</t>
  </si>
  <si>
    <t>Operating Income</t>
  </si>
  <si>
    <t>Cost of Sales</t>
  </si>
  <si>
    <t>Sharp Consensus</t>
  </si>
  <si>
    <t xml:space="preserve">Q4  </t>
  </si>
  <si>
    <t xml:space="preserve">Q3  </t>
  </si>
  <si>
    <t xml:space="preserve">Q2  </t>
  </si>
  <si>
    <t xml:space="preserve">Q1  </t>
  </si>
  <si>
    <t>Dec '27E</t>
  </si>
  <si>
    <t>Dec '26E</t>
  </si>
  <si>
    <t>Sep '26E</t>
  </si>
  <si>
    <t>Jun '26E</t>
  </si>
  <si>
    <t>Mar '26E</t>
  </si>
  <si>
    <t>Dec '25E</t>
  </si>
  <si>
    <t>Sep '25</t>
  </si>
  <si>
    <t>Jun '25</t>
  </si>
  <si>
    <t>Mar '25</t>
  </si>
  <si>
    <t>Dec '24</t>
  </si>
  <si>
    <t>Dec '23</t>
  </si>
  <si>
    <t>Income Statement (M)</t>
  </si>
  <si>
    <t>PLTR-USA</t>
  </si>
  <si>
    <t>Cash Flow from Financing</t>
  </si>
  <si>
    <t>Cash Flow from Investing</t>
  </si>
  <si>
    <t>Cash Flow from Operations</t>
  </si>
  <si>
    <t>Unlevered Free Cash Flow</t>
  </si>
  <si>
    <t>Capitalized Research &amp; Development</t>
  </si>
  <si>
    <t>Cash Flow (M)</t>
  </si>
  <si>
    <t>PLTR-US</t>
  </si>
  <si>
    <t>DCF</t>
  </si>
  <si>
    <t>Ticker</t>
  </si>
  <si>
    <t>PLTR</t>
  </si>
  <si>
    <t>Current Stock Price</t>
  </si>
  <si>
    <t>Date</t>
  </si>
  <si>
    <t>Implied Share Price</t>
  </si>
  <si>
    <t>Year End</t>
  </si>
  <si>
    <t>Upside / (Downside)</t>
  </si>
  <si>
    <t>Assumptions</t>
  </si>
  <si>
    <t>Switches</t>
  </si>
  <si>
    <t>Conservative</t>
  </si>
  <si>
    <t>Base</t>
  </si>
  <si>
    <t>Optimistic</t>
  </si>
  <si>
    <t>Year</t>
  </si>
  <si>
    <t>Metric</t>
  </si>
  <si>
    <t>Revenue</t>
  </si>
  <si>
    <t>WACC</t>
  </si>
  <si>
    <t>TGR</t>
  </si>
  <si>
    <t>Valuation</t>
  </si>
  <si>
    <t>Income Statement (12/31, USD M)</t>
  </si>
  <si>
    <t>% growth</t>
  </si>
  <si>
    <t>--</t>
  </si>
  <si>
    <t>% of sales</t>
  </si>
  <si>
    <t>Taxes</t>
  </si>
  <si>
    <t>Tax rate</t>
  </si>
  <si>
    <t>Cash Flow Items (12/31, USD M)</t>
  </si>
  <si>
    <t>D&amp;A</t>
  </si>
  <si>
    <t>CapEx</t>
  </si>
  <si>
    <t>Change in NWC</t>
  </si>
  <si>
    <t>% of change in sales</t>
  </si>
  <si>
    <t>DCF (12/31, USD M)</t>
  </si>
  <si>
    <t>Base (Street)</t>
  </si>
  <si>
    <t>EBIAT</t>
  </si>
  <si>
    <t>Unlevered FCF</t>
  </si>
  <si>
    <t>PV of Unlevered FCF</t>
  </si>
  <si>
    <t>Period</t>
  </si>
  <si>
    <t>Discount Period</t>
  </si>
  <si>
    <t>Terminal Value</t>
  </si>
  <si>
    <t>PV of Terminal Value</t>
  </si>
  <si>
    <t>Enterprise Value</t>
  </si>
  <si>
    <t>(-) Debt</t>
  </si>
  <si>
    <t>(+) Cash</t>
  </si>
  <si>
    <t>Equity Value</t>
  </si>
  <si>
    <t>FDSO</t>
  </si>
  <si>
    <t>Implied Price per Share</t>
  </si>
  <si>
    <t>'27 - '30</t>
  </si>
  <si>
    <t>Target EBIT</t>
  </si>
  <si>
    <t>Margin</t>
  </si>
  <si>
    <t>Non-Gaap</t>
  </si>
  <si>
    <t>Total</t>
  </si>
  <si>
    <t>Tax Rate</t>
  </si>
  <si>
    <t>Cost of Debt</t>
  </si>
  <si>
    <t>% of Debt</t>
  </si>
  <si>
    <t>Debt</t>
  </si>
  <si>
    <t>Market Risk Premium</t>
  </si>
  <si>
    <t>Beta</t>
  </si>
  <si>
    <t>Risk Free Rate</t>
  </si>
  <si>
    <t>Cost of Equity</t>
  </si>
  <si>
    <t>% of Equity</t>
  </si>
  <si>
    <t>Market Cap</t>
  </si>
  <si>
    <t>Cost of equity = Risk free rate + Beta x Market Risk Premium</t>
  </si>
  <si>
    <t>WACC = % of equity x cost of equity + % of debt x cost of debt x (1 - Tax Rate)</t>
  </si>
  <si>
    <t>mil</t>
  </si>
  <si>
    <t>FS WACC</t>
  </si>
  <si>
    <t>Mid-year</t>
  </si>
  <si>
    <t>conversion</t>
  </si>
  <si>
    <t>Dilutive Shares</t>
  </si>
  <si>
    <t>Exercise price</t>
  </si>
  <si>
    <t>Outstanding</t>
  </si>
  <si>
    <t>Options outstanding</t>
  </si>
  <si>
    <t>Net diluted shares outstanding</t>
  </si>
  <si>
    <t>PSUs</t>
  </si>
  <si>
    <t>RSUs</t>
  </si>
  <si>
    <t>Net dilutive options</t>
  </si>
  <si>
    <t>Total shares repurchased (mm)</t>
  </si>
  <si>
    <t>Total proceeds ($mm)</t>
  </si>
  <si>
    <t>In-the-money exercisable options</t>
  </si>
  <si>
    <t>Basic shares outstanding (latest filing)</t>
  </si>
  <si>
    <t>Current price</t>
  </si>
  <si>
    <t>Full Diluted Shares</t>
  </si>
  <si>
    <t>Diluted Share Count Calculation</t>
  </si>
  <si>
    <t>Options</t>
  </si>
  <si>
    <t>SARs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</si>
</sst>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(* #,##0.00_);_(* \(#,##0.00\);_(* &quot;-&quot;??_);_(@_)"/>
    <numFmt numFmtId="164" formatCode="#,##0.0"/>
    <numFmt numFmtId="165" formatCode="0%;\(0%\)"/>
    <numFmt numFmtId="166" formatCode="0.0%;\(0.0%\)"/>
    <numFmt numFmtId="167" formatCode="0.0%"/>
    <numFmt numFmtId="168" formatCode="0\A"/>
    <numFmt numFmtId="169" formatCode="0&quot;E&quot;"/>
    <numFmt numFmtId="170" formatCode="0.0"/>
    <numFmt numFmtId="171" formatCode="&quot;$&quot;#,##0.00"/>
    <numFmt numFmtId="172" formatCode="0&quot;A&quot;"/>
    <numFmt numFmtId="173" formatCode="_(* #,##0.0_);_(* \(#,##0.0\);_(* &quot;-&quot;?_);_(@_)"/>
    <numFmt numFmtId="174" formatCode="0.00000%"/>
    <numFmt numFmtId="175" formatCode="0.000"/>
    <numFmt numFmtId="176" formatCode="#,##0.0_);\(#,##0.0\)"/>
    <numFmt numFmtId="177" formatCode="&quot;Tranche&quot;\ 0"/>
    <numFmt numFmtId="178" formatCode="#,##0.000_);\(#,##0.000\)"/>
    <numFmt numFmtId="179" formatCode="#,##0.0_);\(#,##0.0\);@_)"/>
    <numFmt numFmtId="180" formatCode="#,##0.000_);\(#,##0.000\);@_)"/>
  </numFmts>
  <fonts count="3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646464"/>
      <name val="Arial"/>
      <family val="2"/>
    </font>
    <font>
      <sz val="10"/>
      <color rgb="FFFF0000"/>
      <name val="Arial"/>
      <family val="2"/>
    </font>
    <font>
      <b/>
      <sz val="10"/>
      <color rgb="FF003366"/>
      <name val="Arial"/>
      <family val="2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9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7030A0"/>
      <name val="Aptos Narrow"/>
      <family val="2"/>
      <scheme val="minor"/>
    </font>
    <font>
      <i/>
      <sz val="11"/>
      <color rgb="FF7030A0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33CC"/>
      <name val="Aptos Narrow"/>
      <family val="2"/>
      <scheme val="minor"/>
    </font>
    <font>
      <b/>
      <sz val="10"/>
      <color theme="4" tint="-0.249977111117893"/>
      <name val="Arial"/>
      <family val="2"/>
    </font>
    <font>
      <i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indexed="12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5" fillId="0" borderId="0"/>
    <xf numFmtId="9" fontId="10" fillId="0" borderId="0" applyFont="0" applyFill="0" applyBorder="0" applyAlignment="0" applyProtection="0"/>
  </cellStyleXfs>
  <cellXfs count="16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2" fillId="0" borderId="1" xfId="1" applyBorder="1"/>
    <xf numFmtId="0" fontId="1" fillId="2" borderId="0" xfId="0" applyFont="1" applyFill="1"/>
    <xf numFmtId="0" fontId="4" fillId="0" borderId="0" xfId="0" applyFont="1"/>
    <xf numFmtId="0" fontId="5" fillId="0" borderId="0" xfId="2"/>
    <xf numFmtId="0" fontId="6" fillId="0" borderId="0" xfId="2" applyFont="1" applyAlignment="1">
      <alignment horizontal="left"/>
    </xf>
    <xf numFmtId="164" fontId="5" fillId="0" borderId="0" xfId="2" applyNumberFormat="1" applyAlignment="1">
      <alignment horizontal="right"/>
    </xf>
    <xf numFmtId="0" fontId="5" fillId="0" borderId="0" xfId="2" applyAlignment="1">
      <alignment horizontal="left" indent="4"/>
    </xf>
    <xf numFmtId="164" fontId="7" fillId="3" borderId="0" xfId="2" applyNumberFormat="1" applyFont="1" applyFill="1" applyAlignment="1">
      <alignment horizontal="right"/>
    </xf>
    <xf numFmtId="164" fontId="5" fillId="3" borderId="0" xfId="2" applyNumberFormat="1" applyFill="1" applyAlignment="1">
      <alignment horizontal="right"/>
    </xf>
    <xf numFmtId="0" fontId="5" fillId="3" borderId="0" xfId="2" applyFill="1" applyAlignment="1">
      <alignment horizontal="left" indent="4"/>
    </xf>
    <xf numFmtId="164" fontId="8" fillId="0" borderId="0" xfId="2" applyNumberFormat="1" applyFont="1" applyAlignment="1">
      <alignment horizontal="right"/>
    </xf>
    <xf numFmtId="0" fontId="8" fillId="0" borderId="0" xfId="2" applyFont="1" applyAlignment="1">
      <alignment horizontal="left" indent="3"/>
    </xf>
    <xf numFmtId="0" fontId="8" fillId="3" borderId="0" xfId="2" applyFont="1" applyFill="1" applyAlignment="1">
      <alignment horizontal="left"/>
    </xf>
    <xf numFmtId="0" fontId="5" fillId="0" borderId="0" xfId="2" applyAlignment="1">
      <alignment horizontal="left"/>
    </xf>
    <xf numFmtId="4" fontId="5" fillId="0" borderId="0" xfId="2" applyNumberFormat="1" applyAlignment="1">
      <alignment horizontal="right"/>
    </xf>
    <xf numFmtId="0" fontId="5" fillId="0" borderId="0" xfId="2" applyAlignment="1">
      <alignment horizontal="left" indent="1"/>
    </xf>
    <xf numFmtId="4" fontId="5" fillId="3" borderId="0" xfId="2" applyNumberFormat="1" applyFill="1" applyAlignment="1">
      <alignment horizontal="right"/>
    </xf>
    <xf numFmtId="4" fontId="8" fillId="3" borderId="0" xfId="2" applyNumberFormat="1" applyFont="1" applyFill="1" applyAlignment="1">
      <alignment horizontal="right"/>
    </xf>
    <xf numFmtId="0" fontId="8" fillId="3" borderId="0" xfId="2" applyFont="1" applyFill="1" applyAlignment="1">
      <alignment horizontal="left" indent="3"/>
    </xf>
    <xf numFmtId="4" fontId="8" fillId="0" borderId="0" xfId="2" applyNumberFormat="1" applyFont="1" applyAlignment="1">
      <alignment horizontal="right"/>
    </xf>
    <xf numFmtId="4" fontId="7" fillId="3" borderId="0" xfId="2" applyNumberFormat="1" applyFont="1" applyFill="1" applyAlignment="1">
      <alignment horizontal="right"/>
    </xf>
    <xf numFmtId="0" fontId="5" fillId="3" borderId="0" xfId="2" applyFill="1" applyAlignment="1">
      <alignment horizontal="left" indent="1"/>
    </xf>
    <xf numFmtId="0" fontId="8" fillId="0" borderId="0" xfId="2" applyFont="1" applyAlignment="1">
      <alignment horizontal="left"/>
    </xf>
    <xf numFmtId="164" fontId="8" fillId="3" borderId="0" xfId="2" applyNumberFormat="1" applyFont="1" applyFill="1" applyAlignment="1">
      <alignment horizontal="right"/>
    </xf>
    <xf numFmtId="164" fontId="7" fillId="0" borderId="0" xfId="2" applyNumberFormat="1" applyFont="1" applyAlignment="1">
      <alignment horizontal="right"/>
    </xf>
    <xf numFmtId="0" fontId="5" fillId="3" borderId="0" xfId="2" applyFill="1" applyAlignment="1">
      <alignment horizontal="left"/>
    </xf>
    <xf numFmtId="0" fontId="5" fillId="3" borderId="0" xfId="2" applyFill="1" applyAlignment="1">
      <alignment horizontal="left" indent="7"/>
    </xf>
    <xf numFmtId="0" fontId="5" fillId="0" borderId="0" xfId="2" applyAlignment="1">
      <alignment horizontal="left" indent="7"/>
    </xf>
    <xf numFmtId="0" fontId="8" fillId="3" borderId="0" xfId="2" applyFont="1" applyFill="1" applyAlignment="1">
      <alignment horizontal="left" indent="6"/>
    </xf>
    <xf numFmtId="0" fontId="8" fillId="0" borderId="0" xfId="2" applyFont="1" applyAlignment="1">
      <alignment horizontal="left" indent="6"/>
    </xf>
    <xf numFmtId="0" fontId="9" fillId="4" borderId="0" xfId="2" applyFont="1" applyFill="1" applyAlignment="1">
      <alignment horizontal="left"/>
    </xf>
    <xf numFmtId="0" fontId="5" fillId="0" borderId="2" xfId="2" applyBorder="1"/>
    <xf numFmtId="0" fontId="5" fillId="0" borderId="3" xfId="2" applyBorder="1"/>
    <xf numFmtId="0" fontId="9" fillId="0" borderId="0" xfId="2" applyFont="1"/>
    <xf numFmtId="4" fontId="7" fillId="0" borderId="0" xfId="2" applyNumberFormat="1" applyFont="1" applyAlignment="1">
      <alignment horizontal="right"/>
    </xf>
    <xf numFmtId="3" fontId="5" fillId="3" borderId="0" xfId="2" applyNumberFormat="1" applyFill="1" applyAlignment="1">
      <alignment horizontal="right"/>
    </xf>
    <xf numFmtId="3" fontId="5" fillId="0" borderId="0" xfId="2" applyNumberFormat="1" applyAlignment="1">
      <alignment horizontal="right"/>
    </xf>
    <xf numFmtId="3" fontId="8" fillId="3" borderId="0" xfId="2" applyNumberFormat="1" applyFont="1" applyFill="1" applyAlignment="1">
      <alignment horizontal="right"/>
    </xf>
    <xf numFmtId="3" fontId="8" fillId="0" borderId="0" xfId="2" applyNumberFormat="1" applyFont="1" applyAlignment="1">
      <alignment horizontal="right"/>
    </xf>
    <xf numFmtId="0" fontId="8" fillId="4" borderId="0" xfId="2" applyFont="1" applyFill="1" applyAlignment="1">
      <alignment horizontal="left"/>
    </xf>
    <xf numFmtId="3" fontId="7" fillId="0" borderId="0" xfId="2" applyNumberFormat="1" applyFont="1" applyAlignment="1">
      <alignment horizontal="right"/>
    </xf>
    <xf numFmtId="3" fontId="7" fillId="3" borderId="0" xfId="2" applyNumberFormat="1" applyFont="1" applyFill="1" applyAlignment="1">
      <alignment horizontal="right"/>
    </xf>
    <xf numFmtId="0" fontId="0" fillId="5" borderId="4" xfId="0" applyFill="1" applyBorder="1" applyAlignment="1">
      <alignment horizontal="center"/>
    </xf>
    <xf numFmtId="14" fontId="0" fillId="5" borderId="4" xfId="0" applyNumberFormat="1" applyFill="1" applyBorder="1"/>
    <xf numFmtId="2" fontId="0" fillId="0" borderId="0" xfId="0" applyNumberFormat="1"/>
    <xf numFmtId="165" fontId="0" fillId="0" borderId="0" xfId="0" applyNumberFormat="1"/>
    <xf numFmtId="0" fontId="1" fillId="6" borderId="0" xfId="0" applyFont="1" applyFill="1"/>
    <xf numFmtId="0" fontId="11" fillId="6" borderId="0" xfId="0" applyFont="1" applyFill="1"/>
    <xf numFmtId="0" fontId="12" fillId="0" borderId="0" xfId="0" applyFont="1"/>
    <xf numFmtId="0" fontId="4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166" fontId="0" fillId="5" borderId="4" xfId="0" applyNumberFormat="1" applyFill="1" applyBorder="1" applyAlignment="1">
      <alignment horizontal="center"/>
    </xf>
    <xf numFmtId="167" fontId="0" fillId="5" borderId="4" xfId="3" applyNumberFormat="1" applyFont="1" applyFill="1" applyBorder="1" applyAlignment="1">
      <alignment horizontal="center"/>
    </xf>
    <xf numFmtId="167" fontId="0" fillId="0" borderId="0" xfId="3" applyNumberFormat="1" applyFont="1" applyFill="1" applyBorder="1" applyAlignment="1">
      <alignment horizontal="center"/>
    </xf>
    <xf numFmtId="168" fontId="1" fillId="2" borderId="0" xfId="0" applyNumberFormat="1" applyFont="1" applyFill="1"/>
    <xf numFmtId="169" fontId="1" fillId="2" borderId="0" xfId="0" applyNumberFormat="1" applyFont="1" applyFill="1"/>
    <xf numFmtId="0" fontId="13" fillId="0" borderId="0" xfId="0" applyFont="1"/>
    <xf numFmtId="37" fontId="14" fillId="0" borderId="0" xfId="0" applyNumberFormat="1" applyFont="1"/>
    <xf numFmtId="0" fontId="15" fillId="0" borderId="0" xfId="0" applyFont="1" applyAlignment="1">
      <alignment horizontal="left" indent="1"/>
    </xf>
    <xf numFmtId="9" fontId="0" fillId="0" borderId="0" xfId="0" quotePrefix="1" applyNumberFormat="1" applyAlignment="1">
      <alignment horizontal="right"/>
    </xf>
    <xf numFmtId="165" fontId="15" fillId="0" borderId="0" xfId="3" applyNumberFormat="1" applyFont="1"/>
    <xf numFmtId="165" fontId="15" fillId="0" borderId="0" xfId="0" quotePrefix="1" applyNumberFormat="1" applyFont="1" applyAlignment="1">
      <alignment horizontal="right"/>
    </xf>
    <xf numFmtId="165" fontId="16" fillId="0" borderId="0" xfId="0" quotePrefix="1" applyNumberFormat="1" applyFont="1" applyAlignment="1">
      <alignment horizontal="right"/>
    </xf>
    <xf numFmtId="0" fontId="17" fillId="0" borderId="0" xfId="0" applyFont="1"/>
    <xf numFmtId="37" fontId="18" fillId="0" borderId="0" xfId="0" applyNumberFormat="1" applyFont="1"/>
    <xf numFmtId="1" fontId="18" fillId="0" borderId="0" xfId="0" applyNumberFormat="1" applyFont="1"/>
    <xf numFmtId="0" fontId="15" fillId="0" borderId="0" xfId="0" applyFont="1"/>
    <xf numFmtId="9" fontId="15" fillId="0" borderId="0" xfId="0" quotePrefix="1" applyNumberFormat="1" applyFont="1" applyAlignment="1">
      <alignment horizontal="right"/>
    </xf>
    <xf numFmtId="9" fontId="17" fillId="0" borderId="0" xfId="0" applyNumberFormat="1" applyFont="1"/>
    <xf numFmtId="0" fontId="0" fillId="0" borderId="0" xfId="0" quotePrefix="1" applyAlignment="1">
      <alignment horizontal="right"/>
    </xf>
    <xf numFmtId="3" fontId="19" fillId="0" borderId="0" xfId="0" applyNumberFormat="1" applyFont="1"/>
    <xf numFmtId="3" fontId="13" fillId="0" borderId="0" xfId="0" applyNumberFormat="1" applyFont="1"/>
    <xf numFmtId="165" fontId="20" fillId="0" borderId="0" xfId="0" quotePrefix="1" applyNumberFormat="1" applyFont="1" applyAlignment="1">
      <alignment horizontal="right"/>
    </xf>
    <xf numFmtId="9" fontId="15" fillId="5" borderId="4" xfId="3" applyFont="1" applyFill="1" applyBorder="1" applyAlignment="1">
      <alignment horizontal="right"/>
    </xf>
    <xf numFmtId="9" fontId="20" fillId="5" borderId="4" xfId="3" applyFont="1" applyFill="1" applyBorder="1" applyAlignment="1">
      <alignment horizontal="right"/>
    </xf>
    <xf numFmtId="9" fontId="16" fillId="5" borderId="4" xfId="3" applyFont="1" applyFill="1" applyBorder="1" applyAlignment="1">
      <alignment horizontal="right"/>
    </xf>
    <xf numFmtId="37" fontId="19" fillId="0" borderId="0" xfId="0" applyNumberFormat="1" applyFont="1"/>
    <xf numFmtId="165" fontId="16" fillId="0" borderId="0" xfId="3" applyNumberFormat="1" applyFont="1" applyFill="1" applyBorder="1" applyAlignment="1"/>
    <xf numFmtId="37" fontId="13" fillId="0" borderId="0" xfId="0" applyNumberFormat="1" applyFont="1"/>
    <xf numFmtId="0" fontId="0" fillId="0" borderId="5" xfId="0" applyBorder="1"/>
    <xf numFmtId="0" fontId="0" fillId="0" borderId="6" xfId="0" applyBorder="1"/>
    <xf numFmtId="3" fontId="22" fillId="0" borderId="6" xfId="0" applyNumberFormat="1" applyFont="1" applyBorder="1"/>
    <xf numFmtId="3" fontId="0" fillId="0" borderId="6" xfId="0" applyNumberFormat="1" applyBorder="1"/>
    <xf numFmtId="165" fontId="20" fillId="0" borderId="0" xfId="3" applyNumberFormat="1" applyFont="1" applyFill="1" applyBorder="1" applyAlignment="1"/>
    <xf numFmtId="0" fontId="0" fillId="0" borderId="8" xfId="0" applyBorder="1"/>
    <xf numFmtId="0" fontId="0" fillId="0" borderId="9" xfId="0" applyBorder="1"/>
    <xf numFmtId="3" fontId="0" fillId="0" borderId="9" xfId="0" applyNumberFormat="1" applyBorder="1"/>
    <xf numFmtId="0" fontId="0" fillId="0" borderId="11" xfId="0" applyBorder="1"/>
    <xf numFmtId="0" fontId="0" fillId="0" borderId="12" xfId="0" applyBorder="1"/>
    <xf numFmtId="3" fontId="0" fillId="0" borderId="12" xfId="0" applyNumberFormat="1" applyBorder="1"/>
    <xf numFmtId="170" fontId="0" fillId="0" borderId="0" xfId="0" applyNumberFormat="1"/>
    <xf numFmtId="14" fontId="0" fillId="0" borderId="0" xfId="0" applyNumberFormat="1"/>
    <xf numFmtId="3" fontId="0" fillId="0" borderId="0" xfId="0" applyNumberFormat="1"/>
    <xf numFmtId="3" fontId="23" fillId="0" borderId="0" xfId="0" applyNumberFormat="1" applyFont="1"/>
    <xf numFmtId="0" fontId="24" fillId="0" borderId="0" xfId="0" applyFont="1"/>
    <xf numFmtId="3" fontId="25" fillId="0" borderId="0" xfId="0" applyNumberFormat="1" applyFont="1"/>
    <xf numFmtId="3" fontId="24" fillId="0" borderId="0" xfId="0" applyNumberFormat="1" applyFont="1"/>
    <xf numFmtId="171" fontId="0" fillId="0" borderId="0" xfId="0" applyNumberFormat="1"/>
    <xf numFmtId="0" fontId="0" fillId="0" borderId="14" xfId="0" applyBorder="1"/>
    <xf numFmtId="172" fontId="1" fillId="2" borderId="0" xfId="0" applyNumberFormat="1" applyFont="1" applyFill="1"/>
    <xf numFmtId="43" fontId="8" fillId="3" borderId="0" xfId="2" applyNumberFormat="1" applyFont="1" applyFill="1" applyAlignment="1">
      <alignment horizontal="right"/>
    </xf>
    <xf numFmtId="173" fontId="8" fillId="3" borderId="0" xfId="2" applyNumberFormat="1" applyFont="1" applyFill="1" applyAlignment="1">
      <alignment horizontal="right"/>
    </xf>
    <xf numFmtId="3" fontId="8" fillId="7" borderId="0" xfId="2" applyNumberFormat="1" applyFont="1" applyFill="1" applyAlignment="1">
      <alignment horizontal="right"/>
    </xf>
    <xf numFmtId="164" fontId="8" fillId="8" borderId="0" xfId="2" applyNumberFormat="1" applyFont="1" applyFill="1" applyAlignment="1">
      <alignment horizontal="right"/>
    </xf>
    <xf numFmtId="3" fontId="26" fillId="8" borderId="0" xfId="2" applyNumberFormat="1" applyFont="1" applyFill="1" applyAlignment="1">
      <alignment horizontal="right"/>
    </xf>
    <xf numFmtId="9" fontId="21" fillId="8" borderId="4" xfId="3" applyFont="1" applyFill="1" applyBorder="1" applyAlignment="1">
      <alignment horizontal="right"/>
    </xf>
    <xf numFmtId="0" fontId="0" fillId="8" borderId="0" xfId="0" applyFill="1"/>
    <xf numFmtId="3" fontId="13" fillId="8" borderId="0" xfId="0" applyNumberFormat="1" applyFont="1" applyFill="1"/>
    <xf numFmtId="165" fontId="16" fillId="8" borderId="0" xfId="3" applyNumberFormat="1" applyFont="1" applyFill="1" applyBorder="1" applyAlignment="1"/>
    <xf numFmtId="37" fontId="13" fillId="8" borderId="0" xfId="0" applyNumberFormat="1" applyFont="1" applyFill="1"/>
    <xf numFmtId="9" fontId="15" fillId="8" borderId="4" xfId="3" applyFont="1" applyFill="1" applyBorder="1" applyAlignment="1">
      <alignment horizontal="right"/>
    </xf>
    <xf numFmtId="9" fontId="16" fillId="8" borderId="4" xfId="3" applyFont="1" applyFill="1" applyBorder="1" applyAlignment="1">
      <alignment horizontal="right"/>
    </xf>
    <xf numFmtId="9" fontId="20" fillId="8" borderId="4" xfId="3" applyFont="1" applyFill="1" applyBorder="1" applyAlignment="1">
      <alignment horizontal="right"/>
    </xf>
    <xf numFmtId="3" fontId="0" fillId="8" borderId="6" xfId="0" applyNumberFormat="1" applyFill="1" applyBorder="1"/>
    <xf numFmtId="3" fontId="0" fillId="8" borderId="7" xfId="0" applyNumberFormat="1" applyFill="1" applyBorder="1"/>
    <xf numFmtId="165" fontId="20" fillId="8" borderId="0" xfId="3" applyNumberFormat="1" applyFont="1" applyFill="1" applyBorder="1" applyAlignment="1"/>
    <xf numFmtId="3" fontId="0" fillId="8" borderId="9" xfId="0" applyNumberFormat="1" applyFill="1" applyBorder="1"/>
    <xf numFmtId="3" fontId="0" fillId="8" borderId="10" xfId="0" applyNumberFormat="1" applyFill="1" applyBorder="1"/>
    <xf numFmtId="3" fontId="0" fillId="8" borderId="12" xfId="0" applyNumberFormat="1" applyFill="1" applyBorder="1"/>
    <xf numFmtId="3" fontId="0" fillId="8" borderId="13" xfId="0" applyNumberFormat="1" applyFill="1" applyBorder="1"/>
    <xf numFmtId="170" fontId="0" fillId="8" borderId="0" xfId="0" applyNumberFormat="1" applyFill="1"/>
    <xf numFmtId="9" fontId="27" fillId="5" borderId="4" xfId="3" applyFont="1" applyFill="1" applyBorder="1" applyAlignment="1">
      <alignment horizontal="right"/>
    </xf>
    <xf numFmtId="165" fontId="15" fillId="8" borderId="0" xfId="3" applyNumberFormat="1" applyFont="1" applyFill="1"/>
    <xf numFmtId="165" fontId="15" fillId="9" borderId="0" xfId="0" quotePrefix="1" applyNumberFormat="1" applyFont="1" applyFill="1" applyAlignment="1">
      <alignment horizontal="right"/>
    </xf>
    <xf numFmtId="10" fontId="0" fillId="0" borderId="0" xfId="0" applyNumberFormat="1" applyAlignment="1">
      <alignment horizontal="right"/>
    </xf>
    <xf numFmtId="10" fontId="0" fillId="5" borderId="4" xfId="0" applyNumberFormat="1" applyFill="1" applyBorder="1" applyAlignment="1">
      <alignment horizontal="right"/>
    </xf>
    <xf numFmtId="167" fontId="0" fillId="0" borderId="0" xfId="0" applyNumberFormat="1" applyAlignment="1">
      <alignment horizontal="right"/>
    </xf>
    <xf numFmtId="3" fontId="0" fillId="5" borderId="4" xfId="0" applyNumberFormat="1" applyFill="1" applyBorder="1" applyAlignment="1">
      <alignment horizontal="right"/>
    </xf>
    <xf numFmtId="174" fontId="0" fillId="0" borderId="0" xfId="0" applyNumberFormat="1"/>
    <xf numFmtId="0" fontId="0" fillId="5" borderId="4" xfId="0" applyFill="1" applyBorder="1" applyAlignment="1">
      <alignment horizontal="right"/>
    </xf>
    <xf numFmtId="0" fontId="0" fillId="10" borderId="0" xfId="0" applyFill="1"/>
    <xf numFmtId="0" fontId="1" fillId="10" borderId="0" xfId="0" applyFont="1" applyFill="1"/>
    <xf numFmtId="10" fontId="0" fillId="0" borderId="0" xfId="0" applyNumberFormat="1"/>
    <xf numFmtId="0" fontId="29" fillId="0" borderId="0" xfId="0" applyFont="1"/>
    <xf numFmtId="175" fontId="28" fillId="7" borderId="15" xfId="0" applyNumberFormat="1" applyFont="1" applyFill="1" applyBorder="1" applyAlignment="1">
      <alignment horizontal="right" indent="1"/>
    </xf>
    <xf numFmtId="0" fontId="28" fillId="7" borderId="16" xfId="0" applyFont="1" applyFill="1" applyBorder="1"/>
    <xf numFmtId="0" fontId="28" fillId="7" borderId="17" xfId="0" applyFont="1" applyFill="1" applyBorder="1"/>
    <xf numFmtId="0" fontId="0" fillId="0" borderId="1" xfId="0" applyBorder="1" applyAlignment="1">
      <alignment horizontal="right" indent="1"/>
    </xf>
    <xf numFmtId="176" fontId="30" fillId="0" borderId="1" xfId="0" applyNumberFormat="1" applyFont="1" applyBorder="1" applyAlignment="1">
      <alignment horizontal="right"/>
    </xf>
    <xf numFmtId="177" fontId="0" fillId="0" borderId="1" xfId="0" applyNumberFormat="1" applyBorder="1" applyAlignment="1">
      <alignment horizontal="left"/>
    </xf>
    <xf numFmtId="175" fontId="0" fillId="0" borderId="0" xfId="0" applyNumberFormat="1" applyAlignment="1">
      <alignment horizontal="right" indent="1"/>
    </xf>
    <xf numFmtId="39" fontId="30" fillId="11" borderId="4" xfId="0" applyNumberFormat="1" applyFont="1" applyFill="1" applyBorder="1" applyAlignment="1">
      <alignment horizontal="right"/>
    </xf>
    <xf numFmtId="178" fontId="30" fillId="11" borderId="4" xfId="0" applyNumberFormat="1" applyFont="1" applyFill="1" applyBorder="1" applyAlignment="1">
      <alignment horizontal="right"/>
    </xf>
    <xf numFmtId="177" fontId="0" fillId="0" borderId="0" xfId="0" applyNumberFormat="1" applyAlignment="1">
      <alignment horizontal="left"/>
    </xf>
    <xf numFmtId="39" fontId="0" fillId="0" borderId="0" xfId="0" applyNumberFormat="1"/>
    <xf numFmtId="0" fontId="4" fillId="0" borderId="0" xfId="0" applyFont="1" applyAlignment="1">
      <alignment horizontal="right"/>
    </xf>
    <xf numFmtId="0" fontId="11" fillId="0" borderId="0" xfId="0" applyFont="1" applyAlignment="1">
      <alignment horizontal="centerContinuous"/>
    </xf>
    <xf numFmtId="0" fontId="1" fillId="0" borderId="0" xfId="0" applyFont="1" applyAlignment="1">
      <alignment horizontal="left"/>
    </xf>
    <xf numFmtId="0" fontId="11" fillId="2" borderId="0" xfId="0" applyFont="1" applyFill="1" applyAlignment="1">
      <alignment horizontal="centerContinuous"/>
    </xf>
    <xf numFmtId="0" fontId="1" fillId="2" borderId="0" xfId="0" applyFont="1" applyFill="1" applyAlignment="1">
      <alignment horizontal="left"/>
    </xf>
    <xf numFmtId="179" fontId="0" fillId="0" borderId="0" xfId="0" applyNumberFormat="1"/>
    <xf numFmtId="176" fontId="0" fillId="0" borderId="0" xfId="0" applyNumberFormat="1"/>
    <xf numFmtId="0" fontId="28" fillId="0" borderId="0" xfId="0" applyFont="1" applyAlignment="1">
      <alignment horizontal="left"/>
    </xf>
    <xf numFmtId="180" fontId="28" fillId="0" borderId="0" xfId="0" applyNumberFormat="1" applyFont="1"/>
    <xf numFmtId="180" fontId="24" fillId="0" borderId="0" xfId="0" applyNumberFormat="1" applyFont="1"/>
    <xf numFmtId="0" fontId="0" fillId="0" borderId="0" xfId="0" applyAlignment="1">
      <alignment horizontal="left"/>
    </xf>
    <xf numFmtId="180" fontId="0" fillId="0" borderId="0" xfId="0" applyNumberFormat="1"/>
    <xf numFmtId="180" fontId="19" fillId="0" borderId="0" xfId="0" applyNumberFormat="1" applyFont="1"/>
    <xf numFmtId="0" fontId="22" fillId="0" borderId="0" xfId="0" applyFont="1" applyAlignment="1">
      <alignment horizontal="left"/>
    </xf>
    <xf numFmtId="39" fontId="25" fillId="11" borderId="4" xfId="0" applyNumberFormat="1" applyFont="1" applyFill="1" applyBorder="1" applyAlignment="1">
      <alignment horizontal="right"/>
    </xf>
    <xf numFmtId="0" fontId="0" fillId="0" borderId="0" xfId="0" applyAlignment="1">
      <alignment horizontal="left" indent="1"/>
    </xf>
    <xf numFmtId="0" fontId="14" fillId="0" borderId="0" xfId="0" applyFont="1"/>
  </cellXfs>
  <cellStyles count="4">
    <cellStyle name="Hyperlink" xfId="1" builtinId="8"/>
    <cellStyle name="Normal" xfId="0" builtinId="0"/>
    <cellStyle name="Normal 2" xfId="2" xr:uid="{A74BCB9A-B27D-4400-AA21-DD65E5315544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</xdr:colOff>
      <xdr:row>83</xdr:row>
      <xdr:rowOff>35595</xdr:rowOff>
    </xdr:from>
    <xdr:to>
      <xdr:col>15</xdr:col>
      <xdr:colOff>316416</xdr:colOff>
      <xdr:row>96</xdr:row>
      <xdr:rowOff>36699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734397-D886-4F09-D941-5EC1D6955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" y="15298455"/>
          <a:ext cx="9871896" cy="23785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gvi\Downloads\2024.12.04-Palantir-DCF.xlsx" TargetMode="External"/><Relationship Id="rId1" Type="http://schemas.openxmlformats.org/officeDocument/2006/relationships/externalLinkPath" Target="2024.12.04-Palantir-DCF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fc5d5c8c4852779/Desktop/Models/Chipotle/2024.07.27%20-%20Chipotle%20DCF.xlsx" TargetMode="External"/><Relationship Id="rId1" Type="http://schemas.openxmlformats.org/officeDocument/2006/relationships/externalLinkPath" Target="https://d.docs.live.net/4fc5d5c8c4852779/Desktop/Models/Chipotle/2024.07.27%20-%20Chipotle%20DC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DCF"/>
      <sheetName val="IS - Estimates"/>
      <sheetName val="IS - Annual"/>
      <sheetName val="IS - Quarterly"/>
      <sheetName val="CFS - Estimates"/>
      <sheetName val="CFS - Annual"/>
      <sheetName val="CFS - Quarterly"/>
    </sheetNames>
    <sheetDataSet>
      <sheetData sheetId="0"/>
      <sheetData sheetId="1">
        <row r="18">
          <cell r="E18">
            <v>0.09</v>
          </cell>
        </row>
        <row r="19">
          <cell r="E19">
            <v>0.03</v>
          </cell>
        </row>
        <row r="56">
          <cell r="K56">
            <v>0.14000000000000001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DCF"/>
      <sheetName val="WACC"/>
      <sheetName val="Shares"/>
      <sheetName val="IS - Historicals"/>
      <sheetName val="IS - Forecast"/>
      <sheetName val="CFS - Historicals"/>
      <sheetName val="CFS - Forecast"/>
    </sheetNames>
    <sheetDataSet>
      <sheetData sheetId="0" refreshError="1"/>
      <sheetData sheetId="1">
        <row r="18">
          <cell r="E18">
            <v>8.4806000000000006E-2</v>
          </cell>
        </row>
        <row r="19">
          <cell r="E19">
            <v>2.5000000000000001E-2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7CD3F-6050-4002-A63B-14DDDE91EE01}">
  <sheetPr codeName="Sheet1"/>
  <dimension ref="A1:P21"/>
  <sheetViews>
    <sheetView topLeftCell="A5" zoomScale="130" zoomScaleNormal="130" workbookViewId="0">
      <selection activeCell="B5" sqref="B5"/>
    </sheetView>
  </sheetViews>
  <sheetFormatPr defaultRowHeight="14.4" x14ac:dyDescent="0.3"/>
  <sheetData>
    <row r="1" spans="1:16" x14ac:dyDescent="0.3">
      <c r="A1" s="1" t="s">
        <v>0</v>
      </c>
    </row>
    <row r="2" spans="1:16" ht="21" x14ac:dyDescent="0.4">
      <c r="A2" s="2"/>
      <c r="B2" s="3" t="s">
        <v>1</v>
      </c>
      <c r="C2" s="4"/>
      <c r="D2" s="4"/>
      <c r="E2" s="4"/>
      <c r="F2" s="4"/>
      <c r="G2" s="5"/>
      <c r="H2" s="4"/>
      <c r="I2" s="4"/>
      <c r="J2" s="4"/>
      <c r="K2" s="4"/>
      <c r="L2" s="4"/>
      <c r="M2" s="4"/>
      <c r="N2" s="4"/>
      <c r="O2" s="4"/>
      <c r="P2" s="4"/>
    </row>
    <row r="3" spans="1:16" x14ac:dyDescent="0.3">
      <c r="A3" s="1"/>
    </row>
    <row r="4" spans="1:16" x14ac:dyDescent="0.3">
      <c r="A4" s="1" t="s">
        <v>2</v>
      </c>
      <c r="B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x14ac:dyDescent="0.3">
      <c r="A5" s="1"/>
      <c r="B5" t="s">
        <v>4</v>
      </c>
    </row>
    <row r="6" spans="1:16" x14ac:dyDescent="0.3">
      <c r="A6" s="1"/>
      <c r="B6" t="s">
        <v>5</v>
      </c>
    </row>
    <row r="7" spans="1:16" x14ac:dyDescent="0.3">
      <c r="A7" s="1"/>
      <c r="B7" t="s">
        <v>6</v>
      </c>
    </row>
    <row r="8" spans="1:16" x14ac:dyDescent="0.3">
      <c r="A8" s="1"/>
      <c r="B8" t="s">
        <v>7</v>
      </c>
    </row>
    <row r="9" spans="1:16" x14ac:dyDescent="0.3">
      <c r="A9" s="1"/>
      <c r="B9" t="s">
        <v>8</v>
      </c>
    </row>
    <row r="10" spans="1:16" x14ac:dyDescent="0.3">
      <c r="A10" s="1"/>
      <c r="B10" t="s">
        <v>9</v>
      </c>
    </row>
    <row r="11" spans="1:16" x14ac:dyDescent="0.3">
      <c r="A11" s="1"/>
    </row>
    <row r="12" spans="1:16" x14ac:dyDescent="0.3">
      <c r="A12" s="1" t="s">
        <v>2</v>
      </c>
      <c r="B12" s="6" t="s">
        <v>10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3">
      <c r="A13" s="1"/>
      <c r="B13" s="7" t="s">
        <v>11</v>
      </c>
    </row>
    <row r="14" spans="1:16" x14ac:dyDescent="0.3">
      <c r="A14" s="1"/>
      <c r="B14" t="s">
        <v>12</v>
      </c>
    </row>
    <row r="15" spans="1:16" x14ac:dyDescent="0.3">
      <c r="A15" s="1"/>
      <c r="B15" t="s">
        <v>13</v>
      </c>
    </row>
    <row r="16" spans="1:16" x14ac:dyDescent="0.3">
      <c r="A16" s="1"/>
      <c r="B16" t="s">
        <v>14</v>
      </c>
    </row>
    <row r="17" spans="1:2" x14ac:dyDescent="0.3">
      <c r="A17" s="1"/>
    </row>
    <row r="18" spans="1:2" x14ac:dyDescent="0.3">
      <c r="A18" s="1"/>
      <c r="B18" s="7" t="s">
        <v>15</v>
      </c>
    </row>
    <row r="19" spans="1:2" x14ac:dyDescent="0.3">
      <c r="A19" s="1"/>
      <c r="B19" t="s">
        <v>16</v>
      </c>
    </row>
    <row r="20" spans="1:2" x14ac:dyDescent="0.3">
      <c r="A20" s="1"/>
      <c r="B20" t="s">
        <v>17</v>
      </c>
    </row>
    <row r="21" spans="1:2" x14ac:dyDescent="0.3">
      <c r="A21" s="1"/>
      <c r="B21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BF3A3-3353-4F38-8F98-CAFABB409534}">
  <sheetPr codeName="Sheet2"/>
  <dimension ref="A1:T82"/>
  <sheetViews>
    <sheetView topLeftCell="A70" workbookViewId="0">
      <selection activeCell="F80" sqref="F80"/>
    </sheetView>
  </sheetViews>
  <sheetFormatPr defaultRowHeight="14.4" x14ac:dyDescent="0.3"/>
  <cols>
    <col min="2" max="2" width="10.33203125" bestFit="1" customWidth="1"/>
    <col min="4" max="5" width="9.5546875" bestFit="1" customWidth="1"/>
    <col min="6" max="6" width="11.109375" bestFit="1" customWidth="1"/>
    <col min="7" max="8" width="9.5546875" bestFit="1" customWidth="1"/>
    <col min="9" max="10" width="9" bestFit="1" customWidth="1"/>
    <col min="11" max="12" width="10.21875" bestFit="1" customWidth="1"/>
  </cols>
  <sheetData>
    <row r="1" spans="1:20" ht="21" x14ac:dyDescent="0.4">
      <c r="A1" s="3" t="s">
        <v>159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3" spans="1:20" x14ac:dyDescent="0.3">
      <c r="A3" t="s">
        <v>160</v>
      </c>
      <c r="B3" s="47" t="s">
        <v>161</v>
      </c>
      <c r="D3" t="s">
        <v>162</v>
      </c>
      <c r="G3">
        <v>170.96</v>
      </c>
    </row>
    <row r="4" spans="1:20" x14ac:dyDescent="0.3">
      <c r="A4" t="s">
        <v>163</v>
      </c>
      <c r="B4" s="48">
        <v>46038</v>
      </c>
      <c r="D4" t="s">
        <v>164</v>
      </c>
      <c r="G4" s="49">
        <f ca="1">P82</f>
        <v>46.908213655391954</v>
      </c>
    </row>
    <row r="5" spans="1:20" x14ac:dyDescent="0.3">
      <c r="A5" t="s">
        <v>165</v>
      </c>
      <c r="B5" s="48">
        <v>46387</v>
      </c>
      <c r="D5" t="s">
        <v>166</v>
      </c>
      <c r="G5" s="50">
        <f ca="1">G4/G3-1</f>
        <v>-0.72561877833766997</v>
      </c>
    </row>
    <row r="7" spans="1:20" x14ac:dyDescent="0.3">
      <c r="A7" s="6" t="s">
        <v>167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9" spans="1:20" x14ac:dyDescent="0.3">
      <c r="A9" s="51" t="s">
        <v>168</v>
      </c>
      <c r="B9" s="52"/>
      <c r="C9" s="52"/>
      <c r="D9" s="52"/>
      <c r="F9" s="51" t="s">
        <v>169</v>
      </c>
      <c r="G9" s="52"/>
      <c r="H9" s="52"/>
      <c r="I9" s="52"/>
      <c r="K9" s="51" t="s">
        <v>170</v>
      </c>
      <c r="L9" s="52"/>
      <c r="M9" s="52"/>
      <c r="N9" s="52"/>
      <c r="P9" s="51" t="s">
        <v>171</v>
      </c>
      <c r="Q9" s="52"/>
      <c r="R9" s="52"/>
      <c r="S9" s="52"/>
    </row>
    <row r="10" spans="1:20" x14ac:dyDescent="0.3">
      <c r="A10" s="7" t="s">
        <v>167</v>
      </c>
      <c r="F10" s="7" t="s">
        <v>167</v>
      </c>
      <c r="G10" s="53"/>
      <c r="H10" s="54" t="s">
        <v>172</v>
      </c>
      <c r="I10" s="54" t="s">
        <v>173</v>
      </c>
      <c r="K10" s="7" t="s">
        <v>167</v>
      </c>
      <c r="L10" s="53"/>
      <c r="M10" s="54" t="s">
        <v>172</v>
      </c>
      <c r="N10" s="54" t="s">
        <v>173</v>
      </c>
      <c r="P10" s="7" t="s">
        <v>167</v>
      </c>
      <c r="Q10" s="53"/>
      <c r="R10" s="54" t="s">
        <v>172</v>
      </c>
      <c r="S10" s="54" t="s">
        <v>173</v>
      </c>
    </row>
    <row r="11" spans="1:20" x14ac:dyDescent="0.3">
      <c r="A11" t="s">
        <v>174</v>
      </c>
      <c r="D11" s="47">
        <v>3</v>
      </c>
      <c r="E11" s="1"/>
      <c r="F11" t="s">
        <v>174</v>
      </c>
      <c r="H11" s="55">
        <v>2026</v>
      </c>
      <c r="I11" s="56">
        <v>0.75</v>
      </c>
      <c r="M11" s="55"/>
      <c r="N11" s="55"/>
      <c r="P11" t="s">
        <v>174</v>
      </c>
      <c r="R11" s="55">
        <v>2026</v>
      </c>
      <c r="S11" s="56">
        <v>1</v>
      </c>
    </row>
    <row r="12" spans="1:20" x14ac:dyDescent="0.3">
      <c r="A12" t="s">
        <v>21</v>
      </c>
      <c r="D12" s="47">
        <v>3</v>
      </c>
      <c r="E12" s="1"/>
      <c r="F12" t="s">
        <v>174</v>
      </c>
      <c r="H12" s="55" t="s">
        <v>204</v>
      </c>
      <c r="I12" s="56">
        <v>0.7</v>
      </c>
      <c r="K12" t="s">
        <v>174</v>
      </c>
      <c r="M12" s="55" t="s">
        <v>204</v>
      </c>
      <c r="N12" s="56">
        <v>0.8</v>
      </c>
      <c r="P12" t="s">
        <v>174</v>
      </c>
      <c r="R12" s="55" t="s">
        <v>204</v>
      </c>
      <c r="S12" s="56">
        <v>0.9</v>
      </c>
    </row>
    <row r="13" spans="1:20" x14ac:dyDescent="0.3">
      <c r="A13" t="s">
        <v>175</v>
      </c>
      <c r="D13" s="47">
        <v>3</v>
      </c>
      <c r="E13" s="1"/>
      <c r="F13" t="s">
        <v>21</v>
      </c>
      <c r="H13" s="1">
        <v>2030</v>
      </c>
      <c r="I13" s="57">
        <v>0.35</v>
      </c>
      <c r="K13" t="s">
        <v>21</v>
      </c>
      <c r="M13" s="1">
        <v>2030</v>
      </c>
      <c r="N13" s="57">
        <v>0.4</v>
      </c>
      <c r="P13" t="s">
        <v>21</v>
      </c>
      <c r="R13" s="1">
        <v>2030</v>
      </c>
      <c r="S13" s="57">
        <v>0.48</v>
      </c>
    </row>
    <row r="14" spans="1:20" x14ac:dyDescent="0.3">
      <c r="A14" t="s">
        <v>176</v>
      </c>
      <c r="D14" s="47">
        <v>3</v>
      </c>
      <c r="E14" s="1"/>
    </row>
    <row r="15" spans="1:20" x14ac:dyDescent="0.3">
      <c r="D15" s="1"/>
      <c r="E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20" x14ac:dyDescent="0.3">
      <c r="A16" s="7" t="s">
        <v>177</v>
      </c>
      <c r="E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20" x14ac:dyDescent="0.3">
      <c r="A17" t="s">
        <v>175</v>
      </c>
      <c r="D17" s="57">
        <f>CHOOSE(D13,I17,N17,S17)</f>
        <v>0.11</v>
      </c>
      <c r="E17" s="1"/>
      <c r="F17" t="s">
        <v>175</v>
      </c>
      <c r="I17" s="57">
        <v>0.1323</v>
      </c>
      <c r="J17" s="1"/>
      <c r="K17" t="s">
        <v>175</v>
      </c>
      <c r="N17" s="57">
        <v>0.12709999999999999</v>
      </c>
      <c r="O17" s="1"/>
      <c r="P17" t="s">
        <v>175</v>
      </c>
      <c r="S17" s="57">
        <v>0.11</v>
      </c>
    </row>
    <row r="18" spans="1:20" x14ac:dyDescent="0.3">
      <c r="A18" t="s">
        <v>176</v>
      </c>
      <c r="D18" s="57">
        <f>CHOOSE(D14,I18,N18,S18)</f>
        <v>0.03</v>
      </c>
      <c r="F18" t="s">
        <v>176</v>
      </c>
      <c r="I18" s="57">
        <v>0.02</v>
      </c>
      <c r="J18" s="1"/>
      <c r="K18" t="s">
        <v>176</v>
      </c>
      <c r="N18" s="57">
        <v>2.5000000000000001E-2</v>
      </c>
      <c r="O18" s="1"/>
      <c r="P18" t="s">
        <v>176</v>
      </c>
      <c r="S18" s="57">
        <v>0.03</v>
      </c>
    </row>
    <row r="19" spans="1:20" x14ac:dyDescent="0.3">
      <c r="D19" s="58"/>
      <c r="I19" s="58"/>
      <c r="J19" s="1"/>
      <c r="N19" s="58"/>
      <c r="O19" s="1"/>
      <c r="S19" s="58"/>
    </row>
    <row r="20" spans="1:20" x14ac:dyDescent="0.3">
      <c r="A20" s="6" t="s">
        <v>178</v>
      </c>
      <c r="B20" s="6"/>
      <c r="C20" s="6"/>
      <c r="D20" s="59">
        <v>2018</v>
      </c>
      <c r="E20" s="59">
        <f>D20+1</f>
        <v>2019</v>
      </c>
      <c r="F20" s="59">
        <f t="shared" ref="F20:M20" si="0">E20+1</f>
        <v>2020</v>
      </c>
      <c r="G20" s="59">
        <f t="shared" si="0"/>
        <v>2021</v>
      </c>
      <c r="H20" s="59">
        <f t="shared" si="0"/>
        <v>2022</v>
      </c>
      <c r="I20" s="59">
        <f t="shared" si="0"/>
        <v>2023</v>
      </c>
      <c r="J20" s="104">
        <f t="shared" si="0"/>
        <v>2024</v>
      </c>
      <c r="K20" s="60">
        <f t="shared" si="0"/>
        <v>2025</v>
      </c>
      <c r="L20" s="60">
        <f t="shared" si="0"/>
        <v>2026</v>
      </c>
      <c r="M20" s="60">
        <f t="shared" si="0"/>
        <v>2027</v>
      </c>
      <c r="N20" s="58"/>
      <c r="O20" s="1"/>
      <c r="S20" s="61"/>
    </row>
    <row r="21" spans="1:20" x14ac:dyDescent="0.3">
      <c r="A21" t="s">
        <v>174</v>
      </c>
      <c r="D21" s="28">
        <v>595.40899999999999</v>
      </c>
      <c r="E21" s="28">
        <v>742.55499999999995</v>
      </c>
      <c r="F21" s="28">
        <v>1092.673</v>
      </c>
      <c r="G21" s="28">
        <v>1541.8889999999999</v>
      </c>
      <c r="H21" s="28">
        <v>1905.8710000000001</v>
      </c>
      <c r="I21" s="28">
        <v>2225.0120000000002</v>
      </c>
      <c r="J21" s="28">
        <v>2865.5070000000001</v>
      </c>
      <c r="K21" s="107">
        <v>4405.79</v>
      </c>
      <c r="L21" s="107">
        <v>6292.71</v>
      </c>
      <c r="M21" s="107">
        <v>8734.7900000000009</v>
      </c>
      <c r="N21" s="108"/>
      <c r="O21" s="108"/>
      <c r="P21" s="108"/>
      <c r="Q21" s="108"/>
      <c r="R21" s="108"/>
      <c r="S21" s="108"/>
      <c r="T21" s="108"/>
    </row>
    <row r="22" spans="1:20" x14ac:dyDescent="0.3">
      <c r="A22" s="63" t="s">
        <v>179</v>
      </c>
      <c r="D22" s="64" t="s">
        <v>180</v>
      </c>
      <c r="E22" s="65">
        <f>E21/D21-1</f>
        <v>0.24713432279323944</v>
      </c>
      <c r="F22" s="65">
        <f t="shared" ref="F22:M22" si="1">F21/E21-1</f>
        <v>0.47150446768252863</v>
      </c>
      <c r="G22" s="65">
        <f t="shared" si="1"/>
        <v>0.41111659206368234</v>
      </c>
      <c r="H22" s="65">
        <f t="shared" si="1"/>
        <v>0.23606238840798532</v>
      </c>
      <c r="I22" s="65">
        <f t="shared" si="1"/>
        <v>0.16745152216493153</v>
      </c>
      <c r="J22" s="65">
        <f t="shared" si="1"/>
        <v>0.2878613688375613</v>
      </c>
      <c r="K22" s="127">
        <f t="shared" si="1"/>
        <v>0.53752547105974613</v>
      </c>
      <c r="L22" s="127">
        <f t="shared" si="1"/>
        <v>0.42828187453328459</v>
      </c>
      <c r="M22" s="127">
        <f t="shared" si="1"/>
        <v>0.38808081097015457</v>
      </c>
      <c r="N22" s="58"/>
      <c r="O22" s="1"/>
    </row>
    <row r="23" spans="1:20" x14ac:dyDescent="0.3">
      <c r="N23" s="58"/>
      <c r="O23" s="1"/>
    </row>
    <row r="24" spans="1:20" x14ac:dyDescent="0.3">
      <c r="A24" t="s">
        <v>21</v>
      </c>
      <c r="D24" s="105">
        <v>-623.44000000000005</v>
      </c>
      <c r="E24" s="105">
        <v>-576.44399999999996</v>
      </c>
      <c r="F24" s="105">
        <v>-1173.6790000000001</v>
      </c>
      <c r="G24" s="105">
        <v>-411.04599999999999</v>
      </c>
      <c r="H24" s="105">
        <v>-161.20099999999999</v>
      </c>
      <c r="I24" s="105">
        <v>119.96599999999999</v>
      </c>
      <c r="J24" s="105">
        <v>310.40300000000002</v>
      </c>
      <c r="K24" s="42">
        <v>2145.87</v>
      </c>
      <c r="L24" s="42">
        <v>3133.46</v>
      </c>
      <c r="M24" s="42">
        <v>4419.9799999999996</v>
      </c>
      <c r="N24" s="58"/>
      <c r="O24" s="1"/>
    </row>
    <row r="25" spans="1:20" x14ac:dyDescent="0.3">
      <c r="A25" s="63" t="s">
        <v>181</v>
      </c>
      <c r="D25" s="66">
        <f>D24/D21</f>
        <v>-1.0470785628030481</v>
      </c>
      <c r="E25" s="66">
        <f t="shared" ref="E25:M25" si="2">E24/E21</f>
        <v>-0.77629805199614843</v>
      </c>
      <c r="F25" s="66">
        <f t="shared" si="2"/>
        <v>-1.0741356288660926</v>
      </c>
      <c r="G25" s="66">
        <f t="shared" si="2"/>
        <v>-0.26658598641017611</v>
      </c>
      <c r="H25" s="66">
        <f t="shared" si="2"/>
        <v>-8.4581275437844425E-2</v>
      </c>
      <c r="I25" s="66">
        <f t="shared" si="2"/>
        <v>5.3917012582404042E-2</v>
      </c>
      <c r="J25" s="66">
        <f t="shared" si="2"/>
        <v>0.10832393709036482</v>
      </c>
      <c r="K25" s="128">
        <f t="shared" si="2"/>
        <v>0.48705680479550773</v>
      </c>
      <c r="L25" s="128">
        <f t="shared" si="2"/>
        <v>0.4979508033899544</v>
      </c>
      <c r="M25" s="128">
        <f t="shared" si="2"/>
        <v>0.50602017907700114</v>
      </c>
      <c r="N25" s="58" t="s">
        <v>207</v>
      </c>
      <c r="O25" s="1"/>
    </row>
    <row r="26" spans="1:20" x14ac:dyDescent="0.3">
      <c r="N26" s="58"/>
      <c r="O26" s="1"/>
    </row>
    <row r="27" spans="1:20" x14ac:dyDescent="0.3">
      <c r="A27" t="s">
        <v>182</v>
      </c>
      <c r="D27" s="28">
        <v>9.1020000000000003</v>
      </c>
      <c r="E27" s="28">
        <v>12.375</v>
      </c>
      <c r="F27" s="106">
        <v>-12.635999999999999</v>
      </c>
      <c r="G27" s="28">
        <v>31.885000000000002</v>
      </c>
      <c r="H27" s="28">
        <v>10.067</v>
      </c>
      <c r="I27" s="28">
        <v>19.716000000000001</v>
      </c>
      <c r="J27" s="28">
        <v>21.254999999999999</v>
      </c>
      <c r="K27" s="109"/>
      <c r="L27" s="109"/>
      <c r="M27" s="109"/>
      <c r="N27" s="58"/>
      <c r="O27" s="1"/>
    </row>
    <row r="28" spans="1:20" x14ac:dyDescent="0.3">
      <c r="A28" s="63" t="s">
        <v>183</v>
      </c>
      <c r="D28" s="67">
        <f>D27/'IS - Annual'!I31</f>
        <v>-1.5942549371633755E-2</v>
      </c>
      <c r="E28" s="67">
        <f>E27/'IS - Annual'!H31</f>
        <v>-2.1814970269941527E-2</v>
      </c>
      <c r="F28" s="67">
        <f>F27/'IS - Annual'!G31</f>
        <v>1.0717311817286626E-2</v>
      </c>
      <c r="G28" s="67">
        <f>G27/'IS - Annual'!F31</f>
        <v>-6.527204018882525E-2</v>
      </c>
      <c r="H28" s="67">
        <f>H27/'IS - Annual'!E31</f>
        <v>-2.7884341060363908E-2</v>
      </c>
      <c r="I28" s="67">
        <f>I27/'IS - Annual'!D31</f>
        <v>8.3157943574408144E-2</v>
      </c>
      <c r="J28" s="67">
        <f>J27/'IS - Annual'!C31</f>
        <v>4.3450885474055186E-2</v>
      </c>
      <c r="K28" s="67"/>
      <c r="L28" s="67"/>
      <c r="M28" s="67"/>
      <c r="N28" s="58"/>
      <c r="O28" s="1"/>
    </row>
    <row r="29" spans="1:20" x14ac:dyDescent="0.3">
      <c r="N29" s="58"/>
      <c r="O29" s="1"/>
    </row>
    <row r="30" spans="1:20" x14ac:dyDescent="0.3">
      <c r="A30" s="6" t="s">
        <v>184</v>
      </c>
      <c r="B30" s="6"/>
      <c r="C30" s="6"/>
      <c r="D30" s="59">
        <v>2018</v>
      </c>
      <c r="E30" s="59">
        <f>D30+1</f>
        <v>2019</v>
      </c>
      <c r="F30" s="59">
        <f t="shared" ref="F30" si="3">E30+1</f>
        <v>2020</v>
      </c>
      <c r="G30" s="59">
        <f t="shared" ref="G30" si="4">F30+1</f>
        <v>2021</v>
      </c>
      <c r="H30" s="59">
        <f t="shared" ref="H30" si="5">G30+1</f>
        <v>2022</v>
      </c>
      <c r="I30" s="59">
        <f t="shared" ref="I30" si="6">H30+1</f>
        <v>2023</v>
      </c>
      <c r="J30" s="104">
        <f t="shared" ref="J30" si="7">I30+1</f>
        <v>2024</v>
      </c>
      <c r="K30" s="60">
        <f t="shared" ref="K30" si="8">J30+1</f>
        <v>2025</v>
      </c>
      <c r="L30" s="60">
        <f t="shared" ref="L30" si="9">K30+1</f>
        <v>2026</v>
      </c>
      <c r="M30" s="60">
        <f t="shared" ref="M30" si="10">L30+1</f>
        <v>2027</v>
      </c>
      <c r="N30" s="58"/>
      <c r="O30" s="1"/>
      <c r="S30" s="61"/>
    </row>
    <row r="31" spans="1:20" x14ac:dyDescent="0.3">
      <c r="A31" t="s">
        <v>185</v>
      </c>
      <c r="C31" s="68"/>
      <c r="D31" s="28">
        <v>13.91</v>
      </c>
      <c r="E31" s="28">
        <v>12.255000000000001</v>
      </c>
      <c r="F31" s="28">
        <v>13.871</v>
      </c>
      <c r="G31" s="28">
        <v>14.897</v>
      </c>
      <c r="H31" s="28">
        <v>22.521999999999998</v>
      </c>
      <c r="I31" s="28">
        <v>33.353999999999999</v>
      </c>
      <c r="J31" s="28">
        <v>31.587</v>
      </c>
      <c r="K31" s="62"/>
      <c r="L31" s="62"/>
      <c r="M31" s="62"/>
      <c r="N31" s="69"/>
      <c r="O31" s="69"/>
      <c r="P31" s="69"/>
      <c r="Q31" s="70"/>
      <c r="R31" s="70"/>
      <c r="S31" s="61"/>
      <c r="T31" s="61"/>
    </row>
    <row r="32" spans="1:20" x14ac:dyDescent="0.3">
      <c r="A32" t="s">
        <v>181</v>
      </c>
      <c r="C32" s="68"/>
      <c r="D32" s="67">
        <f>D31/D$21</f>
        <v>2.3362092276065696E-2</v>
      </c>
      <c r="E32" s="67">
        <f t="shared" ref="E32:J32" si="11">E31/E$21</f>
        <v>1.6503827999272785E-2</v>
      </c>
      <c r="F32" s="67">
        <f t="shared" si="11"/>
        <v>1.2694557292071827E-2</v>
      </c>
      <c r="G32" s="67">
        <f t="shared" si="11"/>
        <v>9.6615255702583013E-3</v>
      </c>
      <c r="H32" s="67">
        <f t="shared" si="11"/>
        <v>1.1817169157828624E-2</v>
      </c>
      <c r="I32" s="67">
        <f t="shared" si="11"/>
        <v>1.4990480950215098E-2</v>
      </c>
      <c r="J32" s="67">
        <f t="shared" si="11"/>
        <v>1.102318019114942E-2</v>
      </c>
      <c r="K32" s="67"/>
      <c r="L32" s="67"/>
      <c r="M32" s="67"/>
      <c r="N32" s="68"/>
      <c r="O32" s="68"/>
      <c r="P32" s="68"/>
      <c r="Q32" s="68"/>
      <c r="R32" s="68"/>
      <c r="S32" s="61"/>
      <c r="T32" s="61"/>
    </row>
    <row r="33" spans="1:20" x14ac:dyDescent="0.3"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1"/>
      <c r="T33" s="61"/>
    </row>
    <row r="34" spans="1:20" x14ac:dyDescent="0.3">
      <c r="A34" t="s">
        <v>186</v>
      </c>
      <c r="C34" s="68"/>
      <c r="D34" s="28">
        <v>15.404</v>
      </c>
      <c r="E34" s="28">
        <v>13.096</v>
      </c>
      <c r="F34" s="28">
        <v>12.236000000000001</v>
      </c>
      <c r="G34" s="28">
        <v>12.637</v>
      </c>
      <c r="H34" s="28">
        <v>40.027000000000001</v>
      </c>
      <c r="I34" s="28">
        <v>15.114000000000001</v>
      </c>
      <c r="J34" s="28">
        <v>12.634</v>
      </c>
      <c r="K34" s="41">
        <v>29.961200000000002</v>
      </c>
      <c r="L34" s="41">
        <v>40.615400000000001</v>
      </c>
      <c r="M34" s="41">
        <v>49.0852</v>
      </c>
      <c r="N34" s="62"/>
      <c r="O34" s="62"/>
      <c r="P34" s="62"/>
      <c r="Q34" s="68"/>
      <c r="R34" s="68"/>
      <c r="S34" s="61"/>
      <c r="T34" s="61"/>
    </row>
    <row r="35" spans="1:20" x14ac:dyDescent="0.3">
      <c r="A35" s="71" t="s">
        <v>181</v>
      </c>
      <c r="B35" s="71"/>
      <c r="C35" s="68"/>
      <c r="D35" s="67">
        <f>D34/D$21</f>
        <v>2.5871291834688424E-2</v>
      </c>
      <c r="E35" s="67">
        <f t="shared" ref="E35" si="12">E34/E$21</f>
        <v>1.763640403741137E-2</v>
      </c>
      <c r="F35" s="67">
        <f t="shared" ref="F35" si="13">F34/F$21</f>
        <v>1.1198226733890194E-2</v>
      </c>
      <c r="G35" s="67">
        <f t="shared" ref="G35" si="14">G34/G$21</f>
        <v>8.195791007005045E-3</v>
      </c>
      <c r="H35" s="67">
        <f t="shared" ref="H35" si="15">H34/H$21</f>
        <v>2.1001946091839373E-2</v>
      </c>
      <c r="I35" s="67">
        <f t="shared" ref="I35" si="16">I34/I$21</f>
        <v>6.792772353587306E-3</v>
      </c>
      <c r="J35" s="67">
        <f t="shared" ref="J35" si="17">J34/J$21</f>
        <v>4.4089928937531822E-3</v>
      </c>
      <c r="K35" s="67"/>
      <c r="L35" s="67"/>
      <c r="M35" s="67"/>
      <c r="N35" s="72"/>
      <c r="O35" s="72"/>
      <c r="P35" s="72"/>
      <c r="Q35" s="68"/>
      <c r="R35" s="68"/>
      <c r="S35" s="61"/>
      <c r="T35" s="61"/>
    </row>
    <row r="36" spans="1:20" x14ac:dyDescent="0.3"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73"/>
      <c r="O36" s="68"/>
      <c r="P36" s="68"/>
      <c r="Q36" s="68"/>
      <c r="R36" s="68"/>
      <c r="S36" s="61"/>
      <c r="T36" s="61"/>
    </row>
    <row r="37" spans="1:20" x14ac:dyDescent="0.3">
      <c r="A37" t="s">
        <v>187</v>
      </c>
      <c r="C37" s="68"/>
      <c r="D37" s="15">
        <v>302.57499999999999</v>
      </c>
      <c r="E37" s="15">
        <v>134.02699999999999</v>
      </c>
      <c r="F37" s="15">
        <v>-454.11900000000003</v>
      </c>
      <c r="G37" s="15">
        <v>-92.052000000000007</v>
      </c>
      <c r="H37" s="15">
        <v>-267.10300000000001</v>
      </c>
      <c r="I37" s="15">
        <v>6.2359999999999998</v>
      </c>
      <c r="J37" s="15">
        <v>-70.096999999999994</v>
      </c>
      <c r="K37" s="62"/>
      <c r="L37" s="62"/>
      <c r="M37" s="62"/>
      <c r="N37" s="68"/>
      <c r="O37" s="68"/>
      <c r="P37" s="68"/>
      <c r="Q37" s="68"/>
      <c r="R37" s="68"/>
      <c r="S37" s="61"/>
      <c r="T37" s="61"/>
    </row>
    <row r="38" spans="1:20" x14ac:dyDescent="0.3">
      <c r="A38" s="71" t="s">
        <v>181</v>
      </c>
      <c r="B38" s="71"/>
      <c r="C38" s="68"/>
      <c r="D38" s="67">
        <f>D37/D$21</f>
        <v>0.50818009133217668</v>
      </c>
      <c r="E38" s="67">
        <f t="shared" ref="E38" si="18">E37/E$21</f>
        <v>0.18049437415410305</v>
      </c>
      <c r="F38" s="67">
        <f t="shared" ref="F38" si="19">F37/F$21</f>
        <v>-0.41560375336445582</v>
      </c>
      <c r="G38" s="67">
        <f t="shared" ref="G38" si="20">G37/G$21</f>
        <v>-5.9700795582561396E-2</v>
      </c>
      <c r="H38" s="67">
        <f t="shared" ref="H38" si="21">H37/H$21</f>
        <v>-0.14014747063153801</v>
      </c>
      <c r="I38" s="67">
        <f t="shared" ref="I38" si="22">I37/I$21</f>
        <v>2.8026815136277913E-3</v>
      </c>
      <c r="J38" s="67">
        <f t="shared" ref="J38" si="23">J37/J$21</f>
        <v>-2.4462337729414023E-2</v>
      </c>
      <c r="K38" s="67"/>
      <c r="L38" s="67"/>
      <c r="M38" s="67"/>
      <c r="N38" s="68"/>
      <c r="O38" s="68"/>
      <c r="P38" s="68"/>
      <c r="Q38" s="68"/>
      <c r="R38" s="68"/>
      <c r="S38" s="61"/>
      <c r="T38" s="61"/>
    </row>
    <row r="39" spans="1:20" x14ac:dyDescent="0.3">
      <c r="A39" s="71" t="s">
        <v>188</v>
      </c>
      <c r="B39" s="71"/>
      <c r="D39" s="74" t="s">
        <v>180</v>
      </c>
      <c r="E39" s="65">
        <f>E37/(E21-D21)</f>
        <v>0.91084365188316385</v>
      </c>
      <c r="F39" s="65">
        <f t="shared" ref="F39:J39" si="24">F37/(F21-E21)</f>
        <v>-1.2970455674943875</v>
      </c>
      <c r="G39" s="65">
        <f t="shared" si="24"/>
        <v>-0.20491701097022375</v>
      </c>
      <c r="H39" s="65">
        <f t="shared" si="24"/>
        <v>-0.73383573912995659</v>
      </c>
      <c r="I39" s="65">
        <f t="shared" si="24"/>
        <v>1.9539952560153655E-2</v>
      </c>
      <c r="J39" s="65">
        <f t="shared" si="24"/>
        <v>-0.10944191601807977</v>
      </c>
      <c r="K39" s="65"/>
      <c r="L39" s="65"/>
      <c r="M39" s="65"/>
    </row>
    <row r="40" spans="1:20" x14ac:dyDescent="0.3">
      <c r="K40">
        <v>0.25</v>
      </c>
      <c r="L40">
        <v>1</v>
      </c>
      <c r="M40">
        <f t="shared" ref="M40:P41" si="25">L40+1</f>
        <v>2</v>
      </c>
      <c r="N40">
        <f t="shared" si="25"/>
        <v>3</v>
      </c>
      <c r="O40">
        <f t="shared" si="25"/>
        <v>4</v>
      </c>
      <c r="P40">
        <f t="shared" si="25"/>
        <v>5</v>
      </c>
    </row>
    <row r="41" spans="1:20" x14ac:dyDescent="0.3">
      <c r="A41" s="6" t="s">
        <v>189</v>
      </c>
      <c r="B41" s="6"/>
      <c r="C41" s="6"/>
      <c r="D41" s="59">
        <v>2018</v>
      </c>
      <c r="E41" s="59">
        <f>D41+1</f>
        <v>2019</v>
      </c>
      <c r="F41" s="59">
        <f t="shared" ref="F41:L41" si="26">E41+1</f>
        <v>2020</v>
      </c>
      <c r="G41" s="59">
        <f t="shared" si="26"/>
        <v>2021</v>
      </c>
      <c r="H41" s="59">
        <f t="shared" si="26"/>
        <v>2022</v>
      </c>
      <c r="I41" s="59">
        <f t="shared" si="26"/>
        <v>2023</v>
      </c>
      <c r="J41" s="104">
        <f t="shared" si="26"/>
        <v>2024</v>
      </c>
      <c r="K41" s="60">
        <f t="shared" si="26"/>
        <v>2025</v>
      </c>
      <c r="L41" s="60">
        <f t="shared" si="26"/>
        <v>2026</v>
      </c>
      <c r="M41" s="60">
        <f t="shared" si="25"/>
        <v>2027</v>
      </c>
      <c r="N41" s="60">
        <f t="shared" si="25"/>
        <v>2028</v>
      </c>
      <c r="O41" s="60">
        <f t="shared" si="25"/>
        <v>2029</v>
      </c>
      <c r="P41" s="60">
        <f t="shared" si="25"/>
        <v>2030</v>
      </c>
      <c r="Q41" s="60"/>
      <c r="R41" s="60"/>
      <c r="S41" s="60"/>
      <c r="T41" s="60"/>
    </row>
    <row r="42" spans="1:20" x14ac:dyDescent="0.3">
      <c r="A42" t="s">
        <v>174</v>
      </c>
      <c r="D42" s="75">
        <f>D21</f>
        <v>595.40899999999999</v>
      </c>
      <c r="E42" s="75">
        <f t="shared" ref="E42:J43" si="27">E21</f>
        <v>742.55499999999995</v>
      </c>
      <c r="F42" s="75">
        <f t="shared" si="27"/>
        <v>1092.673</v>
      </c>
      <c r="G42" s="75">
        <f t="shared" si="27"/>
        <v>1541.8889999999999</v>
      </c>
      <c r="H42" s="75">
        <f t="shared" si="27"/>
        <v>1905.8710000000001</v>
      </c>
      <c r="I42" s="75">
        <f t="shared" si="27"/>
        <v>2225.0120000000002</v>
      </c>
      <c r="J42" s="75">
        <f t="shared" si="27"/>
        <v>2865.5070000000001</v>
      </c>
      <c r="K42" s="76">
        <f ca="1">J42*(1+K43)</f>
        <v>4463.1001400000005</v>
      </c>
      <c r="L42" s="76">
        <f t="shared" ref="L42:P42" ca="1" si="28">K42*(1+L43)</f>
        <v>6951.3921479403198</v>
      </c>
      <c r="M42" s="76">
        <f t="shared" ca="1" si="28"/>
        <v>10439.412511561623</v>
      </c>
      <c r="N42" s="76">
        <f t="shared" ca="1" si="28"/>
        <v>15153.805597818899</v>
      </c>
      <c r="O42" s="76">
        <f t="shared" ca="1" si="28"/>
        <v>21312.85876633304</v>
      </c>
      <c r="P42" s="76">
        <f t="shared" ca="1" si="28"/>
        <v>29108.941837399638</v>
      </c>
      <c r="Q42" s="76"/>
      <c r="R42" s="76"/>
      <c r="S42" s="76"/>
      <c r="T42" s="76"/>
    </row>
    <row r="43" spans="1:20" x14ac:dyDescent="0.3">
      <c r="A43" s="63" t="s">
        <v>179</v>
      </c>
      <c r="D43" s="77" t="str">
        <f>D22</f>
        <v>--</v>
      </c>
      <c r="E43" s="77">
        <f t="shared" si="27"/>
        <v>0.24713432279323944</v>
      </c>
      <c r="F43" s="77">
        <f t="shared" si="27"/>
        <v>0.47150446768252863</v>
      </c>
      <c r="G43" s="77">
        <f t="shared" si="27"/>
        <v>0.41111659206368234</v>
      </c>
      <c r="H43" s="77">
        <f t="shared" si="27"/>
        <v>0.23606238840798532</v>
      </c>
      <c r="I43" s="77">
        <f t="shared" si="27"/>
        <v>0.16745152216493153</v>
      </c>
      <c r="J43" s="77">
        <f t="shared" si="27"/>
        <v>0.2878613688375613</v>
      </c>
      <c r="K43" s="67">
        <f ca="1">OFFSET(K43,$D$11,0)</f>
        <v>0.55752547105974615</v>
      </c>
      <c r="L43" s="67">
        <f t="shared" ref="L43:P43" ca="1" si="29">OFFSET(L43,$D$11,0)</f>
        <v>0.55752547105974615</v>
      </c>
      <c r="M43" s="67">
        <f t="shared" ca="1" si="29"/>
        <v>0.5017729239537716</v>
      </c>
      <c r="N43" s="67">
        <f t="shared" ca="1" si="29"/>
        <v>0.45159563155839444</v>
      </c>
      <c r="O43" s="67">
        <f t="shared" ca="1" si="29"/>
        <v>0.40643606840255503</v>
      </c>
      <c r="P43" s="67">
        <f t="shared" ca="1" si="29"/>
        <v>0.36579246156229955</v>
      </c>
      <c r="Q43" s="67"/>
      <c r="R43" s="67"/>
      <c r="S43" s="67"/>
      <c r="T43" s="67"/>
    </row>
    <row r="44" spans="1:20" x14ac:dyDescent="0.3">
      <c r="A44" s="63" t="s">
        <v>169</v>
      </c>
      <c r="J44" s="110"/>
      <c r="K44" s="126">
        <f>K22 - 2%</f>
        <v>0.51752547105974611</v>
      </c>
      <c r="L44" s="78">
        <f>K44*$I$11</f>
        <v>0.38814410329480958</v>
      </c>
      <c r="M44" s="78">
        <f>L44*$I$12</f>
        <v>0.27170087230636669</v>
      </c>
      <c r="N44" s="78">
        <f t="shared" ref="N44:P44" si="30">M44*$I$12</f>
        <v>0.19019061061445666</v>
      </c>
      <c r="O44" s="78">
        <f t="shared" si="30"/>
        <v>0.13313342743011966</v>
      </c>
      <c r="P44" s="78">
        <f t="shared" si="30"/>
        <v>9.3193399201083757E-2</v>
      </c>
      <c r="Q44" s="115"/>
      <c r="R44" s="115"/>
      <c r="S44" s="115"/>
      <c r="T44" s="115"/>
    </row>
    <row r="45" spans="1:20" x14ac:dyDescent="0.3">
      <c r="A45" s="63" t="s">
        <v>190</v>
      </c>
      <c r="J45" s="110"/>
      <c r="K45" s="126">
        <f>K22</f>
        <v>0.53752547105974613</v>
      </c>
      <c r="L45" s="79">
        <f>L22</f>
        <v>0.42828187453328459</v>
      </c>
      <c r="M45" s="80">
        <f>L45*$N$12</f>
        <v>0.34262549962662769</v>
      </c>
      <c r="N45" s="80">
        <f t="shared" ref="N45:P45" si="31">M45*$N$12</f>
        <v>0.27410039970130218</v>
      </c>
      <c r="O45" s="80">
        <f t="shared" si="31"/>
        <v>0.21928031976104176</v>
      </c>
      <c r="P45" s="80">
        <f t="shared" si="31"/>
        <v>0.17542425580883342</v>
      </c>
      <c r="Q45" s="116"/>
      <c r="R45" s="116"/>
      <c r="S45" s="116"/>
      <c r="T45" s="116"/>
    </row>
    <row r="46" spans="1:20" x14ac:dyDescent="0.3">
      <c r="A46" s="63" t="s">
        <v>171</v>
      </c>
      <c r="J46" s="110"/>
      <c r="K46" s="126">
        <f>K22 + 2%</f>
        <v>0.55752547105974615</v>
      </c>
      <c r="L46" s="78">
        <f>K46*S11</f>
        <v>0.55752547105974615</v>
      </c>
      <c r="M46" s="78">
        <f>L46*$S$12</f>
        <v>0.5017729239537716</v>
      </c>
      <c r="N46" s="78">
        <f t="shared" ref="N46:P46" si="32">M46*$S$12</f>
        <v>0.45159563155839444</v>
      </c>
      <c r="O46" s="78">
        <f t="shared" si="32"/>
        <v>0.40643606840255503</v>
      </c>
      <c r="P46" s="78">
        <f t="shared" si="32"/>
        <v>0.36579246156229955</v>
      </c>
      <c r="Q46" s="115"/>
      <c r="R46" s="115"/>
      <c r="S46" s="115"/>
      <c r="T46" s="115"/>
    </row>
    <row r="47" spans="1:20" x14ac:dyDescent="0.3">
      <c r="J47" s="111"/>
      <c r="Q47" s="111"/>
      <c r="R47" s="111"/>
      <c r="S47" s="111"/>
      <c r="T47" s="111"/>
    </row>
    <row r="48" spans="1:20" x14ac:dyDescent="0.3">
      <c r="A48" s="103" t="s">
        <v>21</v>
      </c>
      <c r="D48" s="81">
        <f>D24</f>
        <v>-623.44000000000005</v>
      </c>
      <c r="E48" s="81">
        <f t="shared" ref="E48:I49" si="33">E24</f>
        <v>-576.44399999999996</v>
      </c>
      <c r="F48" s="81">
        <f t="shared" si="33"/>
        <v>-1173.6790000000001</v>
      </c>
      <c r="G48" s="81">
        <f t="shared" si="33"/>
        <v>-411.04599999999999</v>
      </c>
      <c r="H48" s="81">
        <f t="shared" si="33"/>
        <v>-161.20099999999999</v>
      </c>
      <c r="I48" s="81">
        <f t="shared" si="33"/>
        <v>119.96599999999999</v>
      </c>
      <c r="J48" s="81">
        <f t="shared" ref="J48" si="34">J24</f>
        <v>310.40300000000002</v>
      </c>
      <c r="K48" s="76">
        <f ca="1">K49*K42</f>
        <v>2410.0740756000005</v>
      </c>
      <c r="L48" s="76">
        <f t="shared" ref="L48:P48" ca="1" si="35">L49*L42</f>
        <v>3670.3350541124892</v>
      </c>
      <c r="M48" s="76">
        <f t="shared" ca="1" si="35"/>
        <v>5386.7368559657971</v>
      </c>
      <c r="N48" s="76">
        <f t="shared" ca="1" si="35"/>
        <v>7637.5180213007252</v>
      </c>
      <c r="O48" s="76">
        <f t="shared" ca="1" si="35"/>
        <v>10485.926513035856</v>
      </c>
      <c r="P48" s="76">
        <f t="shared" ca="1" si="35"/>
        <v>13972.292081951826</v>
      </c>
      <c r="Q48" s="112"/>
      <c r="R48" s="112"/>
      <c r="S48" s="112"/>
      <c r="T48" s="112"/>
    </row>
    <row r="49" spans="1:20" x14ac:dyDescent="0.3">
      <c r="A49" s="63" t="s">
        <v>181</v>
      </c>
      <c r="D49" s="77">
        <f>D25</f>
        <v>-1.0470785628030481</v>
      </c>
      <c r="E49" s="77">
        <f t="shared" si="33"/>
        <v>-0.77629805199614843</v>
      </c>
      <c r="F49" s="77">
        <f t="shared" si="33"/>
        <v>-1.0741356288660926</v>
      </c>
      <c r="G49" s="77">
        <f t="shared" si="33"/>
        <v>-0.26658598641017611</v>
      </c>
      <c r="H49" s="77">
        <f t="shared" si="33"/>
        <v>-8.4581275437844425E-2</v>
      </c>
      <c r="I49" s="77">
        <f t="shared" si="33"/>
        <v>5.3917012582404042E-2</v>
      </c>
      <c r="J49" s="77">
        <f t="shared" ref="J49" si="36">J25</f>
        <v>0.10832393709036482</v>
      </c>
      <c r="K49" s="82">
        <f ca="1">OFFSET(K49,$D$12,0)</f>
        <v>0.54</v>
      </c>
      <c r="L49" s="82">
        <f t="shared" ref="L49:P49" ca="1" si="37">OFFSET(L49,$D$12,0)</f>
        <v>0.52800000000000002</v>
      </c>
      <c r="M49" s="82">
        <f t="shared" ca="1" si="37"/>
        <v>0.51600000000000001</v>
      </c>
      <c r="N49" s="82">
        <f t="shared" ca="1" si="37"/>
        <v>0.504</v>
      </c>
      <c r="O49" s="82">
        <f t="shared" ca="1" si="37"/>
        <v>0.49199999999999999</v>
      </c>
      <c r="P49" s="82">
        <f t="shared" ca="1" si="37"/>
        <v>0.48</v>
      </c>
      <c r="Q49" s="113"/>
      <c r="R49" s="113"/>
      <c r="S49" s="113"/>
      <c r="T49" s="113"/>
    </row>
    <row r="50" spans="1:20" x14ac:dyDescent="0.3">
      <c r="A50" s="63" t="s">
        <v>169</v>
      </c>
      <c r="J50" s="110"/>
      <c r="K50" s="126">
        <f>K51 -1%</f>
        <v>0.3</v>
      </c>
      <c r="L50" s="78">
        <f>K50+(($P50-$K50)/($P$41-$K$41))</f>
        <v>0.31</v>
      </c>
      <c r="M50" s="78">
        <f t="shared" ref="M50:O50" si="38">L50+(($P50-$K50)/($P$41-$K$41))</f>
        <v>0.32</v>
      </c>
      <c r="N50" s="78">
        <f t="shared" si="38"/>
        <v>0.33</v>
      </c>
      <c r="O50" s="78">
        <f t="shared" si="38"/>
        <v>0.34</v>
      </c>
      <c r="P50" s="79">
        <f>I13</f>
        <v>0.35</v>
      </c>
      <c r="Q50" s="115"/>
      <c r="R50" s="115" t="s">
        <v>205</v>
      </c>
      <c r="S50" s="115" t="s">
        <v>206</v>
      </c>
      <c r="T50" s="117"/>
    </row>
    <row r="51" spans="1:20" x14ac:dyDescent="0.3">
      <c r="A51" s="63" t="s">
        <v>190</v>
      </c>
      <c r="J51" s="110"/>
      <c r="K51" s="126">
        <v>0.31</v>
      </c>
      <c r="L51" s="78">
        <f t="shared" ref="L51:O52" si="39">K51+(($P51-$K51)/($P$41-$K$41))</f>
        <v>0.32800000000000001</v>
      </c>
      <c r="M51" s="78">
        <f t="shared" si="39"/>
        <v>0.34600000000000003</v>
      </c>
      <c r="N51" s="78">
        <f t="shared" si="39"/>
        <v>0.36400000000000005</v>
      </c>
      <c r="O51" s="78">
        <f t="shared" si="39"/>
        <v>0.38200000000000006</v>
      </c>
      <c r="P51" s="79">
        <f>N13</f>
        <v>0.4</v>
      </c>
      <c r="Q51" s="115"/>
      <c r="R51" s="115"/>
      <c r="S51" s="115"/>
      <c r="T51" s="117"/>
    </row>
    <row r="52" spans="1:20" x14ac:dyDescent="0.3">
      <c r="A52" s="63" t="s">
        <v>171</v>
      </c>
      <c r="J52" s="110"/>
      <c r="K52" s="126">
        <v>0.54</v>
      </c>
      <c r="L52" s="78">
        <f t="shared" si="39"/>
        <v>0.52800000000000002</v>
      </c>
      <c r="M52" s="78">
        <f t="shared" si="39"/>
        <v>0.51600000000000001</v>
      </c>
      <c r="N52" s="78">
        <f t="shared" si="39"/>
        <v>0.504</v>
      </c>
      <c r="O52" s="78">
        <f t="shared" si="39"/>
        <v>0.49199999999999999</v>
      </c>
      <c r="P52" s="79">
        <f>S13</f>
        <v>0.48</v>
      </c>
      <c r="Q52" s="115"/>
      <c r="R52" s="115"/>
      <c r="S52" s="115"/>
      <c r="T52" s="117"/>
    </row>
    <row r="53" spans="1:20" x14ac:dyDescent="0.3">
      <c r="A53" s="63"/>
      <c r="J53" s="111"/>
      <c r="Q53" s="111"/>
      <c r="R53" s="111"/>
      <c r="S53" s="111"/>
      <c r="T53" s="111"/>
    </row>
    <row r="54" spans="1:20" x14ac:dyDescent="0.3">
      <c r="A54" s="103" t="s">
        <v>182</v>
      </c>
      <c r="D54" s="81">
        <f>D27</f>
        <v>9.1020000000000003</v>
      </c>
      <c r="E54" s="81">
        <f t="shared" ref="E54:J55" si="40">E27</f>
        <v>12.375</v>
      </c>
      <c r="F54" s="81">
        <f t="shared" si="40"/>
        <v>-12.635999999999999</v>
      </c>
      <c r="G54" s="81">
        <f t="shared" si="40"/>
        <v>31.885000000000002</v>
      </c>
      <c r="H54" s="81">
        <f t="shared" si="40"/>
        <v>10.067</v>
      </c>
      <c r="I54" s="81">
        <f t="shared" si="40"/>
        <v>19.716000000000001</v>
      </c>
      <c r="J54" s="81">
        <f t="shared" si="40"/>
        <v>21.254999999999999</v>
      </c>
      <c r="K54" s="83">
        <f t="shared" ref="K54:P54" ca="1" si="41">K55*K48</f>
        <v>265.10814831600004</v>
      </c>
      <c r="L54" s="83">
        <f t="shared" ca="1" si="41"/>
        <v>477.1435570346236</v>
      </c>
      <c r="M54" s="83">
        <f t="shared" ca="1" si="41"/>
        <v>808.01052839486954</v>
      </c>
      <c r="N54" s="83">
        <f t="shared" ca="1" si="41"/>
        <v>1298.3780636211231</v>
      </c>
      <c r="O54" s="83">
        <f t="shared" ca="1" si="41"/>
        <v>1992.3260374768124</v>
      </c>
      <c r="P54" s="83">
        <f t="shared" ca="1" si="41"/>
        <v>2934.1813372098832</v>
      </c>
      <c r="Q54" s="114"/>
      <c r="R54" s="114"/>
      <c r="S54" s="114"/>
      <c r="T54" s="114"/>
    </row>
    <row r="55" spans="1:20" x14ac:dyDescent="0.3">
      <c r="A55" s="63" t="s">
        <v>183</v>
      </c>
      <c r="D55" s="77">
        <f>D28</f>
        <v>-1.5942549371633755E-2</v>
      </c>
      <c r="E55" s="77">
        <f t="shared" si="40"/>
        <v>-2.1814970269941527E-2</v>
      </c>
      <c r="F55" s="77">
        <f t="shared" si="40"/>
        <v>1.0717311817286626E-2</v>
      </c>
      <c r="G55" s="77">
        <f t="shared" si="40"/>
        <v>-6.527204018882525E-2</v>
      </c>
      <c r="H55" s="77">
        <f t="shared" si="40"/>
        <v>-2.7884341060363908E-2</v>
      </c>
      <c r="I55" s="77">
        <f t="shared" si="40"/>
        <v>8.3157943574408144E-2</v>
      </c>
      <c r="J55" s="77">
        <f t="shared" si="40"/>
        <v>4.3450885474055186E-2</v>
      </c>
      <c r="K55" s="126">
        <v>0.11</v>
      </c>
      <c r="L55" s="78">
        <f t="shared" ref="L55:O55" si="42">K55+(($P55-$K55)/($P$41-$K$41))</f>
        <v>0.13</v>
      </c>
      <c r="M55" s="78">
        <f t="shared" si="42"/>
        <v>0.15</v>
      </c>
      <c r="N55" s="78">
        <f t="shared" si="42"/>
        <v>0.16999999999999998</v>
      </c>
      <c r="O55" s="78">
        <f t="shared" si="42"/>
        <v>0.18999999999999997</v>
      </c>
      <c r="P55" s="79">
        <v>0.21</v>
      </c>
      <c r="Q55" s="115"/>
      <c r="R55" s="115"/>
      <c r="S55" s="115"/>
      <c r="T55" s="117"/>
    </row>
    <row r="56" spans="1:20" x14ac:dyDescent="0.3">
      <c r="Q56" s="111"/>
      <c r="R56" s="111"/>
      <c r="S56" s="111"/>
      <c r="T56" s="111"/>
    </row>
    <row r="57" spans="1:20" x14ac:dyDescent="0.3">
      <c r="A57" s="84" t="s">
        <v>191</v>
      </c>
      <c r="B57" s="85"/>
      <c r="C57" s="85"/>
      <c r="D57" s="85"/>
      <c r="E57" s="85"/>
      <c r="F57" s="85"/>
      <c r="G57" s="85"/>
      <c r="H57" s="85"/>
      <c r="I57" s="85"/>
      <c r="J57" s="86"/>
      <c r="K57" s="87">
        <f t="shared" ref="K57:P57" ca="1" si="43">K48-K54</f>
        <v>2144.9659272840004</v>
      </c>
      <c r="L57" s="87">
        <f t="shared" ca="1" si="43"/>
        <v>3193.1914970778657</v>
      </c>
      <c r="M57" s="87">
        <f t="shared" ca="1" si="43"/>
        <v>4578.7263275709274</v>
      </c>
      <c r="N57" s="87">
        <f t="shared" ca="1" si="43"/>
        <v>6339.139957679602</v>
      </c>
      <c r="O57" s="87">
        <f t="shared" ca="1" si="43"/>
        <v>8493.6004755590438</v>
      </c>
      <c r="P57" s="87">
        <f t="shared" ca="1" si="43"/>
        <v>11038.110744741942</v>
      </c>
      <c r="Q57" s="118"/>
      <c r="R57" s="118"/>
      <c r="S57" s="118"/>
      <c r="T57" s="119"/>
    </row>
    <row r="58" spans="1:20" x14ac:dyDescent="0.3">
      <c r="Q58" s="111"/>
      <c r="R58" s="111"/>
      <c r="S58" s="111"/>
      <c r="T58" s="111"/>
    </row>
    <row r="59" spans="1:20" x14ac:dyDescent="0.3">
      <c r="A59" t="s">
        <v>185</v>
      </c>
      <c r="D59" s="81">
        <f>D31</f>
        <v>13.91</v>
      </c>
      <c r="E59" s="81">
        <f t="shared" ref="E59:I60" si="44">E31</f>
        <v>12.255000000000001</v>
      </c>
      <c r="F59" s="81">
        <f t="shared" si="44"/>
        <v>13.871</v>
      </c>
      <c r="G59" s="81">
        <f t="shared" si="44"/>
        <v>14.897</v>
      </c>
      <c r="H59" s="81">
        <f t="shared" si="44"/>
        <v>22.521999999999998</v>
      </c>
      <c r="I59" s="81">
        <f t="shared" si="44"/>
        <v>33.353999999999999</v>
      </c>
      <c r="J59" s="81">
        <f t="shared" ref="J59" si="45">J31</f>
        <v>31.587</v>
      </c>
      <c r="K59" s="76">
        <f ca="1">K60*K$42</f>
        <v>53.72404411147248</v>
      </c>
      <c r="L59" s="76">
        <f t="shared" ref="L59:P59" ca="1" si="46">L60*L$42</f>
        <v>82.762911358009561</v>
      </c>
      <c r="M59" s="76">
        <f t="shared" ca="1" si="46"/>
        <v>128.9771890782684</v>
      </c>
      <c r="N59" s="76">
        <f t="shared" ca="1" si="46"/>
        <v>188.85225225717934</v>
      </c>
      <c r="O59" s="76">
        <f t="shared" ca="1" si="46"/>
        <v>254.83234234199776</v>
      </c>
      <c r="P59" s="76">
        <f t="shared" ca="1" si="46"/>
        <v>353.4830883500876</v>
      </c>
      <c r="Q59" s="112"/>
      <c r="R59" s="112"/>
      <c r="S59" s="112"/>
      <c r="T59" s="112"/>
    </row>
    <row r="60" spans="1:20" x14ac:dyDescent="0.3">
      <c r="A60" s="71" t="s">
        <v>181</v>
      </c>
      <c r="B60" s="71"/>
      <c r="C60" s="71"/>
      <c r="D60" s="77">
        <f>D32</f>
        <v>2.3362092276065696E-2</v>
      </c>
      <c r="E60" s="77">
        <f t="shared" si="44"/>
        <v>1.6503827999272785E-2</v>
      </c>
      <c r="F60" s="77">
        <f t="shared" si="44"/>
        <v>1.2694557292071827E-2</v>
      </c>
      <c r="G60" s="77">
        <f t="shared" si="44"/>
        <v>9.6615255702583013E-3</v>
      </c>
      <c r="H60" s="77">
        <f t="shared" si="44"/>
        <v>1.1817169157828624E-2</v>
      </c>
      <c r="I60" s="77">
        <f t="shared" si="44"/>
        <v>1.4990480950215098E-2</v>
      </c>
      <c r="J60" s="77">
        <f t="shared" ref="J60" si="47">J32</f>
        <v>1.102318019114942E-2</v>
      </c>
      <c r="K60" s="88">
        <f>AVERAGE(F60:J60)</f>
        <v>1.2037382632304656E-2</v>
      </c>
      <c r="L60" s="88">
        <f t="shared" ref="L60:P60" si="48">AVERAGE(G60:K60)</f>
        <v>1.1905947700351218E-2</v>
      </c>
      <c r="M60" s="88">
        <f t="shared" si="48"/>
        <v>1.2354832126369803E-2</v>
      </c>
      <c r="N60" s="88">
        <f t="shared" si="48"/>
        <v>1.2462364720078039E-2</v>
      </c>
      <c r="O60" s="88">
        <f t="shared" si="48"/>
        <v>1.1956741474050629E-2</v>
      </c>
      <c r="P60" s="88">
        <f t="shared" si="48"/>
        <v>1.2143453730630869E-2</v>
      </c>
      <c r="Q60" s="120"/>
      <c r="R60" s="120"/>
      <c r="S60" s="120"/>
      <c r="T60" s="120"/>
    </row>
    <row r="61" spans="1:20" x14ac:dyDescent="0.3">
      <c r="Q61" s="111"/>
      <c r="R61" s="111"/>
      <c r="S61" s="111"/>
      <c r="T61" s="111"/>
    </row>
    <row r="62" spans="1:20" x14ac:dyDescent="0.3">
      <c r="A62" t="s">
        <v>186</v>
      </c>
      <c r="D62" s="81">
        <f>D34</f>
        <v>15.404</v>
      </c>
      <c r="E62" s="81">
        <f t="shared" ref="E62:I63" si="49">E34</f>
        <v>13.096</v>
      </c>
      <c r="F62" s="81">
        <f t="shared" si="49"/>
        <v>12.236000000000001</v>
      </c>
      <c r="G62" s="81">
        <f t="shared" si="49"/>
        <v>12.637</v>
      </c>
      <c r="H62" s="81">
        <f t="shared" si="49"/>
        <v>40.027000000000001</v>
      </c>
      <c r="I62" s="81">
        <f t="shared" si="49"/>
        <v>15.114000000000001</v>
      </c>
      <c r="J62" s="81">
        <f t="shared" ref="J62" si="50">J34</f>
        <v>12.634</v>
      </c>
      <c r="K62" s="76">
        <f ca="1">K63*K$42</f>
        <v>46.057166376193059</v>
      </c>
      <c r="L62" s="76">
        <f t="shared" ref="L62" ca="1" si="51">L63*L$42</f>
        <v>70.513598629144695</v>
      </c>
      <c r="M62" s="76">
        <f t="shared" ref="M62" ca="1" si="52">M63*M$42</f>
        <v>109.96264719401741</v>
      </c>
      <c r="N62" s="76">
        <f t="shared" ref="N62" ca="1" si="53">N63*N$42</f>
        <v>127.89367631139788</v>
      </c>
      <c r="O62" s="76">
        <f t="shared" ref="O62" ca="1" si="54">O63*O$42</f>
        <v>186.89445558117012</v>
      </c>
      <c r="P62" s="76">
        <f t="shared" ref="P62" ca="1" si="55">P63*P$42</f>
        <v>280.64262270750862</v>
      </c>
      <c r="Q62" s="112"/>
      <c r="R62" s="112"/>
      <c r="S62" s="112"/>
      <c r="T62" s="112"/>
    </row>
    <row r="63" spans="1:20" x14ac:dyDescent="0.3">
      <c r="A63" s="71" t="s">
        <v>181</v>
      </c>
      <c r="B63" s="71"/>
      <c r="C63" s="71"/>
      <c r="D63" s="77">
        <f>D35</f>
        <v>2.5871291834688424E-2</v>
      </c>
      <c r="E63" s="77">
        <f t="shared" si="49"/>
        <v>1.763640403741137E-2</v>
      </c>
      <c r="F63" s="77">
        <f t="shared" si="49"/>
        <v>1.1198226733890194E-2</v>
      </c>
      <c r="G63" s="77">
        <f t="shared" si="49"/>
        <v>8.195791007005045E-3</v>
      </c>
      <c r="H63" s="77">
        <f t="shared" si="49"/>
        <v>2.1001946091839373E-2</v>
      </c>
      <c r="I63" s="77">
        <f t="shared" si="49"/>
        <v>6.792772353587306E-3</v>
      </c>
      <c r="J63" s="77">
        <f t="shared" ref="J63" si="56">J35</f>
        <v>4.4089928937531822E-3</v>
      </c>
      <c r="K63" s="88">
        <f>AVERAGE(F63:J63)</f>
        <v>1.0319545816015021E-2</v>
      </c>
      <c r="L63" s="88">
        <f t="shared" ref="L63:P63" si="57">AVERAGE(G63:K63)</f>
        <v>1.0143809632439986E-2</v>
      </c>
      <c r="M63" s="88">
        <f t="shared" si="57"/>
        <v>1.0533413357526973E-2</v>
      </c>
      <c r="N63" s="88">
        <f t="shared" si="57"/>
        <v>8.4397068106644938E-3</v>
      </c>
      <c r="O63" s="88">
        <f t="shared" si="57"/>
        <v>8.769093702079931E-3</v>
      </c>
      <c r="P63" s="88">
        <f t="shared" si="57"/>
        <v>9.6411138637452799E-3</v>
      </c>
      <c r="Q63" s="120"/>
      <c r="R63" s="120"/>
      <c r="S63" s="120"/>
      <c r="T63" s="120"/>
    </row>
    <row r="64" spans="1:20" x14ac:dyDescent="0.3">
      <c r="Q64" s="111"/>
      <c r="R64" s="111"/>
      <c r="S64" s="111"/>
      <c r="T64" s="111"/>
    </row>
    <row r="65" spans="1:20" x14ac:dyDescent="0.3">
      <c r="A65" t="s">
        <v>187</v>
      </c>
      <c r="D65" s="81">
        <f>D37</f>
        <v>302.57499999999999</v>
      </c>
      <c r="E65" s="81">
        <f t="shared" ref="E65:I66" si="58">E37</f>
        <v>134.02699999999999</v>
      </c>
      <c r="F65" s="81">
        <f t="shared" si="58"/>
        <v>-454.11900000000003</v>
      </c>
      <c r="G65" s="81">
        <f t="shared" si="58"/>
        <v>-92.052000000000007</v>
      </c>
      <c r="H65" s="81">
        <f t="shared" si="58"/>
        <v>-267.10300000000001</v>
      </c>
      <c r="I65" s="81">
        <f t="shared" si="58"/>
        <v>6.2359999999999998</v>
      </c>
      <c r="J65" s="81">
        <f t="shared" ref="J65" si="59">J37</f>
        <v>-70.096999999999994</v>
      </c>
      <c r="K65" s="76">
        <f ca="1">K66*K$42</f>
        <v>32.875699127554341</v>
      </c>
      <c r="L65" s="76">
        <f t="shared" ref="L65" ca="1" si="60">L66*L$42</f>
        <v>51.204738770062569</v>
      </c>
      <c r="M65" s="76">
        <f t="shared" ref="M65" ca="1" si="61">M66*M$42</f>
        <v>76.897890263005905</v>
      </c>
      <c r="N65" s="76">
        <f t="shared" ref="N65" ca="1" si="62">N66*N$42</f>
        <v>111.62464158183617</v>
      </c>
      <c r="O65" s="76">
        <f t="shared" ref="O65" ca="1" si="63">O66*O$42</f>
        <v>156.99292204320201</v>
      </c>
      <c r="P65" s="76">
        <f t="shared" ref="P65" ca="1" si="64">P66*P$42</f>
        <v>214.41974944524307</v>
      </c>
      <c r="Q65" s="112"/>
      <c r="R65" s="112"/>
      <c r="S65" s="112"/>
      <c r="T65" s="112"/>
    </row>
    <row r="66" spans="1:20" x14ac:dyDescent="0.3">
      <c r="A66" s="71" t="s">
        <v>181</v>
      </c>
      <c r="B66" s="71"/>
      <c r="C66" s="71"/>
      <c r="D66" s="77">
        <f>D38</f>
        <v>0.50818009133217668</v>
      </c>
      <c r="E66" s="77">
        <f t="shared" si="58"/>
        <v>0.18049437415410305</v>
      </c>
      <c r="F66" s="77">
        <f t="shared" si="58"/>
        <v>-0.41560375336445582</v>
      </c>
      <c r="G66" s="77">
        <f t="shared" si="58"/>
        <v>-5.9700795582561396E-2</v>
      </c>
      <c r="H66" s="77">
        <f t="shared" si="58"/>
        <v>-0.14014747063153801</v>
      </c>
      <c r="I66" s="77">
        <f t="shared" si="58"/>
        <v>2.8026815136277913E-3</v>
      </c>
      <c r="J66" s="77">
        <f t="shared" ref="J66" si="65">J38</f>
        <v>-2.4462337729414023E-2</v>
      </c>
      <c r="K66" s="88">
        <f>AVERAGE(D66:J66)</f>
        <v>7.3661128131340429E-3</v>
      </c>
      <c r="L66" s="88">
        <f>$K$66</f>
        <v>7.3661128131340429E-3</v>
      </c>
      <c r="M66" s="88">
        <f t="shared" ref="M66:P66" si="66">AVERAGE(K66:L66)</f>
        <v>7.3661128131340429E-3</v>
      </c>
      <c r="N66" s="88">
        <f t="shared" si="66"/>
        <v>7.3661128131340429E-3</v>
      </c>
      <c r="O66" s="88">
        <f t="shared" si="66"/>
        <v>7.3661128131340429E-3</v>
      </c>
      <c r="P66" s="88">
        <f t="shared" si="66"/>
        <v>7.3661128131340429E-3</v>
      </c>
      <c r="Q66" s="120"/>
      <c r="R66" s="120"/>
      <c r="S66" s="120"/>
      <c r="T66" s="120"/>
    </row>
    <row r="67" spans="1:20" x14ac:dyDescent="0.3">
      <c r="Q67" s="111"/>
      <c r="R67" s="111"/>
      <c r="S67" s="111"/>
      <c r="T67" s="111"/>
    </row>
    <row r="68" spans="1:20" x14ac:dyDescent="0.3">
      <c r="A68" s="89" t="s">
        <v>192</v>
      </c>
      <c r="B68" s="90"/>
      <c r="C68" s="90"/>
      <c r="D68" s="90"/>
      <c r="E68" s="90"/>
      <c r="F68" s="90"/>
      <c r="G68" s="90"/>
      <c r="H68" s="90"/>
      <c r="I68" s="90"/>
      <c r="J68" s="91"/>
      <c r="K68" s="91">
        <f t="shared" ref="K68:P68" ca="1" si="67">K57+K59-K62-K65</f>
        <v>2119.7571058917251</v>
      </c>
      <c r="L68" s="91">
        <f t="shared" ca="1" si="67"/>
        <v>3154.2360710366679</v>
      </c>
      <c r="M68" s="91">
        <f t="shared" ca="1" si="67"/>
        <v>4520.8429791921726</v>
      </c>
      <c r="N68" s="91">
        <f t="shared" ca="1" si="67"/>
        <v>6288.4738920435475</v>
      </c>
      <c r="O68" s="91">
        <f t="shared" ca="1" si="67"/>
        <v>8404.5454402766682</v>
      </c>
      <c r="P68" s="91">
        <f t="shared" ca="1" si="67"/>
        <v>10896.531460939277</v>
      </c>
      <c r="Q68" s="121"/>
      <c r="R68" s="121"/>
      <c r="S68" s="121"/>
      <c r="T68" s="122"/>
    </row>
    <row r="69" spans="1:20" x14ac:dyDescent="0.3">
      <c r="A69" s="92" t="s">
        <v>193</v>
      </c>
      <c r="B69" s="93"/>
      <c r="C69" s="93"/>
      <c r="D69" s="93"/>
      <c r="E69" s="93"/>
      <c r="F69" s="93"/>
      <c r="G69" s="93"/>
      <c r="H69" s="93"/>
      <c r="I69" s="93"/>
      <c r="J69" s="94"/>
      <c r="K69" s="94">
        <f t="shared" ref="K69" ca="1" si="68">K68/(1+dr)^K71</f>
        <v>2119.7571058917251</v>
      </c>
      <c r="L69" s="94">
        <f ca="1">(L68*L72)/((1+D17)^L71)</f>
        <v>2875.3686116708927</v>
      </c>
      <c r="M69" s="94">
        <f ca="1">M68/(1+$D$17)^M71</f>
        <v>3882.6068137858292</v>
      </c>
      <c r="N69" s="94">
        <f t="shared" ref="N69:P69" ca="1" si="69">N68/(1+$D$17)^N71</f>
        <v>4865.486508859176</v>
      </c>
      <c r="O69" s="94">
        <f t="shared" ca="1" si="69"/>
        <v>5858.3088141822291</v>
      </c>
      <c r="P69" s="94">
        <f t="shared" ca="1" si="69"/>
        <v>6842.6342996225512</v>
      </c>
      <c r="Q69" s="123"/>
      <c r="R69" s="123"/>
      <c r="S69" s="123"/>
      <c r="T69" s="124"/>
    </row>
    <row r="70" spans="1:20" x14ac:dyDescent="0.3">
      <c r="Q70" s="111"/>
      <c r="R70" s="111"/>
      <c r="S70" s="111"/>
      <c r="T70" s="111"/>
    </row>
    <row r="71" spans="1:20" x14ac:dyDescent="0.3">
      <c r="A71" t="s">
        <v>194</v>
      </c>
      <c r="I71" t="s">
        <v>223</v>
      </c>
      <c r="J71" s="95" t="s">
        <v>224</v>
      </c>
      <c r="K71" s="95"/>
      <c r="L71" s="95">
        <f>L72/2</f>
        <v>0.47916666666666669</v>
      </c>
      <c r="M71" s="95">
        <f>L72+0.5</f>
        <v>1.4583333333333335</v>
      </c>
      <c r="N71" s="95">
        <f t="shared" ref="N71:P71" si="70">M71+1</f>
        <v>2.4583333333333335</v>
      </c>
      <c r="O71" s="95">
        <f t="shared" si="70"/>
        <v>3.4583333333333335</v>
      </c>
      <c r="P71" s="95">
        <f t="shared" si="70"/>
        <v>4.4583333333333339</v>
      </c>
      <c r="Q71" s="125"/>
      <c r="R71" s="125"/>
      <c r="S71" s="125"/>
      <c r="T71" s="125"/>
    </row>
    <row r="72" spans="1:20" x14ac:dyDescent="0.3">
      <c r="A72" t="s">
        <v>195</v>
      </c>
      <c r="J72" s="95"/>
      <c r="L72">
        <f>YEARFRAC(B4,B5)</f>
        <v>0.95833333333333337</v>
      </c>
      <c r="N72" s="95"/>
      <c r="O72" s="95"/>
      <c r="P72" s="49"/>
      <c r="Q72" s="49"/>
      <c r="R72" s="49"/>
    </row>
    <row r="73" spans="1:20" x14ac:dyDescent="0.3">
      <c r="N73" s="96"/>
    </row>
    <row r="74" spans="1:20" x14ac:dyDescent="0.3">
      <c r="A74" t="s">
        <v>196</v>
      </c>
      <c r="P74">
        <f ca="1">(P68*(1+D18))/(D17-D18)</f>
        <v>140292.84255959318</v>
      </c>
      <c r="R74" s="83"/>
      <c r="T74" s="76"/>
    </row>
    <row r="75" spans="1:20" x14ac:dyDescent="0.3">
      <c r="A75" t="s">
        <v>197</v>
      </c>
      <c r="P75">
        <f ca="1">P74/(1+D17)^P71</f>
        <v>88098.916607640334</v>
      </c>
      <c r="R75" s="83"/>
      <c r="T75" s="76"/>
    </row>
    <row r="77" spans="1:20" x14ac:dyDescent="0.3">
      <c r="A77" t="s">
        <v>198</v>
      </c>
      <c r="P77" s="97">
        <f ca="1">SUM(K69:P69,P75)</f>
        <v>114543.07876165274</v>
      </c>
      <c r="R77" s="83"/>
      <c r="T77" s="97"/>
    </row>
    <row r="78" spans="1:20" x14ac:dyDescent="0.3">
      <c r="A78" t="s">
        <v>199</v>
      </c>
      <c r="P78" s="138">
        <f>0</f>
        <v>0</v>
      </c>
      <c r="R78" s="98"/>
      <c r="T78" s="99"/>
    </row>
    <row r="79" spans="1:20" x14ac:dyDescent="0.3">
      <c r="A79" t="s">
        <v>200</v>
      </c>
      <c r="P79" s="138">
        <v>6430</v>
      </c>
      <c r="R79" s="100"/>
      <c r="T79" s="101"/>
    </row>
    <row r="80" spans="1:20" x14ac:dyDescent="0.3">
      <c r="A80" t="s">
        <v>201</v>
      </c>
      <c r="P80" s="97">
        <f ca="1">P77-P78+P79</f>
        <v>120973.07876165274</v>
      </c>
      <c r="R80" s="97"/>
      <c r="T80" s="97"/>
    </row>
    <row r="81" spans="1:20" x14ac:dyDescent="0.3">
      <c r="A81" t="s">
        <v>202</v>
      </c>
      <c r="P81" s="166">
        <f>Shares!E16</f>
        <v>2578.9316909480576</v>
      </c>
      <c r="R81" s="97"/>
      <c r="T81" s="98"/>
    </row>
    <row r="82" spans="1:20" x14ac:dyDescent="0.3">
      <c r="A82" t="s">
        <v>203</v>
      </c>
      <c r="P82" s="49">
        <f ca="1">P80/P81</f>
        <v>46.908213655391954</v>
      </c>
      <c r="R82" s="102"/>
      <c r="T82" s="4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3407-2496-40E6-99AC-EFC429159BC1}">
  <dimension ref="A2:H23"/>
  <sheetViews>
    <sheetView showGridLines="0" tabSelected="1" zoomScale="175" zoomScaleNormal="175" workbookViewId="0">
      <selection activeCell="F11" sqref="F11"/>
    </sheetView>
  </sheetViews>
  <sheetFormatPr defaultColWidth="8.77734375" defaultRowHeight="14.4" x14ac:dyDescent="0.3"/>
  <cols>
    <col min="1" max="1" width="3.44140625" customWidth="1"/>
    <col min="6" max="6" width="12.44140625" customWidth="1"/>
  </cols>
  <sheetData>
    <row r="2" spans="1:8" s="4" customFormat="1" ht="21" x14ac:dyDescent="0.4">
      <c r="B2" s="3" t="s">
        <v>175</v>
      </c>
    </row>
    <row r="4" spans="1:8" x14ac:dyDescent="0.3">
      <c r="B4" t="s">
        <v>220</v>
      </c>
    </row>
    <row r="5" spans="1:8" x14ac:dyDescent="0.3">
      <c r="B5" t="s">
        <v>219</v>
      </c>
    </row>
    <row r="7" spans="1:8" x14ac:dyDescent="0.3">
      <c r="A7" t="s">
        <v>2</v>
      </c>
      <c r="B7" s="136" t="s">
        <v>175</v>
      </c>
      <c r="C7" s="135"/>
      <c r="D7" s="135"/>
      <c r="E7" s="135"/>
      <c r="F7" s="135"/>
    </row>
    <row r="8" spans="1:8" x14ac:dyDescent="0.3">
      <c r="B8" t="s">
        <v>218</v>
      </c>
      <c r="F8" s="132">
        <v>458882</v>
      </c>
      <c r="G8" t="s">
        <v>221</v>
      </c>
    </row>
    <row r="9" spans="1:8" x14ac:dyDescent="0.3">
      <c r="B9" t="s">
        <v>217</v>
      </c>
      <c r="F9" s="131">
        <f>F8/$F$20</f>
        <v>1</v>
      </c>
    </row>
    <row r="10" spans="1:8" x14ac:dyDescent="0.3">
      <c r="B10" t="s">
        <v>216</v>
      </c>
      <c r="F10" s="129">
        <f>F11+F12*F13</f>
        <v>0.12712399999999999</v>
      </c>
    </row>
    <row r="11" spans="1:8" x14ac:dyDescent="0.3">
      <c r="B11" t="s">
        <v>215</v>
      </c>
      <c r="F11" s="130">
        <v>4.2270000000000002E-2</v>
      </c>
    </row>
    <row r="12" spans="1:8" x14ac:dyDescent="0.3">
      <c r="B12" t="s">
        <v>214</v>
      </c>
      <c r="F12" s="134">
        <v>2.0299999999999998</v>
      </c>
    </row>
    <row r="13" spans="1:8" x14ac:dyDescent="0.3">
      <c r="B13" t="s">
        <v>213</v>
      </c>
      <c r="F13" s="130">
        <v>4.1799999999999997E-2</v>
      </c>
      <c r="H13" s="133"/>
    </row>
    <row r="15" spans="1:8" x14ac:dyDescent="0.3">
      <c r="B15" t="s">
        <v>212</v>
      </c>
      <c r="F15" s="132">
        <v>0</v>
      </c>
    </row>
    <row r="16" spans="1:8" x14ac:dyDescent="0.3">
      <c r="B16" t="s">
        <v>211</v>
      </c>
      <c r="F16" s="131">
        <f>F15/$F$20</f>
        <v>0</v>
      </c>
    </row>
    <row r="17" spans="1:6" x14ac:dyDescent="0.3">
      <c r="B17" t="s">
        <v>210</v>
      </c>
      <c r="F17" s="130">
        <v>0</v>
      </c>
    </row>
    <row r="18" spans="1:6" x14ac:dyDescent="0.3">
      <c r="B18" t="s">
        <v>209</v>
      </c>
      <c r="F18" s="130">
        <f>[1]DCF!K56</f>
        <v>0.14000000000000001</v>
      </c>
    </row>
    <row r="20" spans="1:6" x14ac:dyDescent="0.3">
      <c r="B20" t="s">
        <v>208</v>
      </c>
      <c r="F20" s="97">
        <f>F8+F15</f>
        <v>458882</v>
      </c>
    </row>
    <row r="22" spans="1:6" x14ac:dyDescent="0.3">
      <c r="A22" t="s">
        <v>2</v>
      </c>
      <c r="B22" t="s">
        <v>175</v>
      </c>
      <c r="F22" s="129">
        <f>F9*F10+(F16*F17*(1-F18))</f>
        <v>0.12712399999999999</v>
      </c>
    </row>
    <row r="23" spans="1:6" x14ac:dyDescent="0.3">
      <c r="B23" t="s">
        <v>222</v>
      </c>
      <c r="F23" s="137">
        <v>0.1323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BEC93-A3DE-497F-84F0-B6E54325CDA0}">
  <dimension ref="A2:G32"/>
  <sheetViews>
    <sheetView showGridLines="0" topLeftCell="A2" zoomScale="175" zoomScaleNormal="175" workbookViewId="0">
      <selection activeCell="E17" sqref="E17"/>
    </sheetView>
  </sheetViews>
  <sheetFormatPr defaultColWidth="8.77734375" defaultRowHeight="14.4" x14ac:dyDescent="0.3"/>
  <cols>
    <col min="1" max="1" width="3.44140625" style="1" customWidth="1"/>
    <col min="2" max="2" width="36.44140625" bestFit="1" customWidth="1"/>
    <col min="3" max="5" width="15.77734375" customWidth="1"/>
  </cols>
  <sheetData>
    <row r="2" spans="1:7" s="4" customFormat="1" ht="21" x14ac:dyDescent="0.4">
      <c r="A2" s="2"/>
      <c r="B2" s="3" t="s">
        <v>239</v>
      </c>
    </row>
    <row r="3" spans="1:7" x14ac:dyDescent="0.3">
      <c r="B3" s="165"/>
    </row>
    <row r="4" spans="1:7" x14ac:dyDescent="0.3">
      <c r="A4" s="1" t="s">
        <v>2</v>
      </c>
      <c r="B4" s="154" t="s">
        <v>238</v>
      </c>
      <c r="C4" s="153"/>
      <c r="D4" s="153"/>
      <c r="E4" s="153"/>
    </row>
    <row r="5" spans="1:7" ht="4.95" customHeight="1" x14ac:dyDescent="0.3">
      <c r="B5" s="152"/>
      <c r="C5" s="151"/>
      <c r="D5" s="151"/>
      <c r="E5" s="151"/>
    </row>
    <row r="6" spans="1:7" x14ac:dyDescent="0.3">
      <c r="B6" s="160" t="s">
        <v>237</v>
      </c>
      <c r="E6" s="164">
        <v>170.96</v>
      </c>
      <c r="G6" s="149"/>
    </row>
    <row r="7" spans="1:7" ht="14.55" customHeight="1" x14ac:dyDescent="0.3">
      <c r="B7" s="163" t="s">
        <v>236</v>
      </c>
      <c r="E7" s="147">
        <f>(2284334012+98097326+1005000)/1000000</f>
        <v>2383.436338</v>
      </c>
    </row>
    <row r="8" spans="1:7" ht="14.55" customHeight="1" x14ac:dyDescent="0.3">
      <c r="B8" s="160" t="s">
        <v>235</v>
      </c>
      <c r="E8" s="162">
        <f>E32</f>
        <v>165.21</v>
      </c>
    </row>
    <row r="9" spans="1:7" ht="14.55" customHeight="1" x14ac:dyDescent="0.3">
      <c r="B9" s="160" t="s">
        <v>234</v>
      </c>
      <c r="E9" s="161">
        <f>SUMPRODUCT(D21:D30,E21:E30)</f>
        <v>2980.9691800000001</v>
      </c>
    </row>
    <row r="10" spans="1:7" ht="14.55" customHeight="1" x14ac:dyDescent="0.3">
      <c r="B10" s="160" t="s">
        <v>233</v>
      </c>
      <c r="E10" s="161">
        <f>E9/E6</f>
        <v>17.436647051941975</v>
      </c>
    </row>
    <row r="11" spans="1:7" ht="14.55" customHeight="1" x14ac:dyDescent="0.3">
      <c r="B11" s="160" t="s">
        <v>232</v>
      </c>
      <c r="E11" s="161">
        <f>E8-E10</f>
        <v>147.77335294805803</v>
      </c>
    </row>
    <row r="12" spans="1:7" ht="14.55" customHeight="1" x14ac:dyDescent="0.3">
      <c r="B12" s="160"/>
      <c r="E12" s="161"/>
    </row>
    <row r="13" spans="1:7" ht="14.55" customHeight="1" x14ac:dyDescent="0.3">
      <c r="B13" s="160" t="s">
        <v>231</v>
      </c>
      <c r="E13" s="147">
        <v>47.588999999999999</v>
      </c>
    </row>
    <row r="14" spans="1:7" ht="14.55" customHeight="1" x14ac:dyDescent="0.3">
      <c r="B14" s="160" t="s">
        <v>230</v>
      </c>
      <c r="E14" s="147">
        <v>0.13300000000000001</v>
      </c>
    </row>
    <row r="15" spans="1:7" ht="14.55" customHeight="1" x14ac:dyDescent="0.3">
      <c r="B15" s="160"/>
      <c r="E15" s="159"/>
    </row>
    <row r="16" spans="1:7" ht="14.55" customHeight="1" x14ac:dyDescent="0.3">
      <c r="B16" s="157" t="s">
        <v>229</v>
      </c>
      <c r="D16" s="156"/>
      <c r="E16" s="158">
        <f>E7+E11+E13+E14</f>
        <v>2578.9316909480576</v>
      </c>
    </row>
    <row r="17" spans="1:7" x14ac:dyDescent="0.3">
      <c r="B17" s="157"/>
      <c r="D17" s="156"/>
      <c r="E17" s="155"/>
    </row>
    <row r="18" spans="1:7" x14ac:dyDescent="0.3">
      <c r="A18" s="1" t="s">
        <v>2</v>
      </c>
      <c r="B18" s="154" t="s">
        <v>228</v>
      </c>
      <c r="C18" s="153"/>
      <c r="D18" s="153"/>
      <c r="E18" s="153"/>
    </row>
    <row r="19" spans="1:7" ht="4.95" customHeight="1" x14ac:dyDescent="0.3">
      <c r="B19" s="152"/>
      <c r="C19" s="151"/>
      <c r="D19" s="151"/>
      <c r="E19" s="151"/>
    </row>
    <row r="20" spans="1:7" x14ac:dyDescent="0.3">
      <c r="C20" s="150" t="s">
        <v>227</v>
      </c>
      <c r="D20" s="150" t="s">
        <v>226</v>
      </c>
      <c r="E20" s="150" t="s">
        <v>225</v>
      </c>
    </row>
    <row r="21" spans="1:7" x14ac:dyDescent="0.3">
      <c r="B21" s="148">
        <v>1</v>
      </c>
      <c r="C21" s="147">
        <v>153.94900000000001</v>
      </c>
      <c r="D21" s="146">
        <v>9.92</v>
      </c>
      <c r="E21" s="145">
        <f t="shared" ref="E21:E30" si="0">IF(D21&lt;$E$6,C21)</f>
        <v>153.94900000000001</v>
      </c>
      <c r="F21" t="s">
        <v>240</v>
      </c>
      <c r="G21" s="149"/>
    </row>
    <row r="22" spans="1:7" x14ac:dyDescent="0.3">
      <c r="B22" s="148">
        <f t="shared" ref="B22:B30" si="1">B21+1</f>
        <v>2</v>
      </c>
      <c r="C22" s="147">
        <v>11.260999999999999</v>
      </c>
      <c r="D22" s="146">
        <v>129.1</v>
      </c>
      <c r="E22" s="145">
        <f t="shared" si="0"/>
        <v>11.260999999999999</v>
      </c>
      <c r="F22" t="s">
        <v>241</v>
      </c>
    </row>
    <row r="23" spans="1:7" x14ac:dyDescent="0.3">
      <c r="B23" s="148">
        <f t="shared" si="1"/>
        <v>3</v>
      </c>
      <c r="C23" s="147"/>
      <c r="D23" s="146"/>
      <c r="E23" s="145">
        <f t="shared" si="0"/>
        <v>0</v>
      </c>
    </row>
    <row r="24" spans="1:7" x14ac:dyDescent="0.3">
      <c r="B24" s="148">
        <f t="shared" si="1"/>
        <v>4</v>
      </c>
      <c r="C24" s="147"/>
      <c r="D24" s="146"/>
      <c r="E24" s="145">
        <f t="shared" si="0"/>
        <v>0</v>
      </c>
    </row>
    <row r="25" spans="1:7" x14ac:dyDescent="0.3">
      <c r="B25" s="148">
        <f t="shared" si="1"/>
        <v>5</v>
      </c>
      <c r="C25" s="147"/>
      <c r="D25" s="146"/>
      <c r="E25" s="145">
        <f t="shared" si="0"/>
        <v>0</v>
      </c>
    </row>
    <row r="26" spans="1:7" x14ac:dyDescent="0.3">
      <c r="B26" s="148">
        <f t="shared" si="1"/>
        <v>6</v>
      </c>
      <c r="C26" s="147"/>
      <c r="D26" s="146"/>
      <c r="E26" s="145">
        <f t="shared" si="0"/>
        <v>0</v>
      </c>
    </row>
    <row r="27" spans="1:7" x14ac:dyDescent="0.3">
      <c r="B27" s="148">
        <f t="shared" si="1"/>
        <v>7</v>
      </c>
      <c r="C27" s="147"/>
      <c r="D27" s="146"/>
      <c r="E27" s="145">
        <f t="shared" si="0"/>
        <v>0</v>
      </c>
    </row>
    <row r="28" spans="1:7" x14ac:dyDescent="0.3">
      <c r="B28" s="148">
        <f t="shared" si="1"/>
        <v>8</v>
      </c>
      <c r="C28" s="147"/>
      <c r="D28" s="146"/>
      <c r="E28" s="145">
        <f t="shared" si="0"/>
        <v>0</v>
      </c>
    </row>
    <row r="29" spans="1:7" x14ac:dyDescent="0.3">
      <c r="B29" s="148">
        <f t="shared" si="1"/>
        <v>9</v>
      </c>
      <c r="C29" s="147"/>
      <c r="D29" s="146"/>
      <c r="E29" s="145">
        <f t="shared" si="0"/>
        <v>0</v>
      </c>
    </row>
    <row r="30" spans="1:7" x14ac:dyDescent="0.3">
      <c r="B30" s="148">
        <f t="shared" si="1"/>
        <v>10</v>
      </c>
      <c r="C30" s="147"/>
      <c r="D30" s="146"/>
      <c r="E30" s="145">
        <f t="shared" si="0"/>
        <v>0</v>
      </c>
    </row>
    <row r="31" spans="1:7" ht="4.95" customHeight="1" x14ac:dyDescent="0.3">
      <c r="B31" s="144"/>
      <c r="C31" s="143"/>
      <c r="D31" s="143"/>
      <c r="E31" s="142"/>
    </row>
    <row r="32" spans="1:7" x14ac:dyDescent="0.3">
      <c r="A32" s="1" t="s">
        <v>2</v>
      </c>
      <c r="B32" s="141" t="s">
        <v>208</v>
      </c>
      <c r="C32" s="140"/>
      <c r="D32" s="140"/>
      <c r="E32" s="139">
        <f>SUM(E21:E30)</f>
        <v>165.21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B96B-FA1C-4242-8461-7230E3537EEE}">
  <sheetPr codeName="Sheet4">
    <outlinePr summaryBelow="0" summaryRight="0"/>
  </sheetPr>
  <dimension ref="A1:I56"/>
  <sheetViews>
    <sheetView workbookViewId="0">
      <selection activeCell="C32" sqref="C32:I32"/>
    </sheetView>
  </sheetViews>
  <sheetFormatPr defaultColWidth="9.109375" defaultRowHeight="15" customHeight="1" outlineLevelRow="3" x14ac:dyDescent="0.25"/>
  <cols>
    <col min="1" max="1" width="54.5546875" style="8" customWidth="1"/>
    <col min="2" max="9" width="8.44140625" style="8" customWidth="1"/>
    <col min="10" max="16384" width="9.109375" style="8"/>
  </cols>
  <sheetData>
    <row r="1" spans="1:9" ht="15" customHeight="1" x14ac:dyDescent="0.25">
      <c r="A1" s="38" t="s">
        <v>76</v>
      </c>
    </row>
    <row r="2" spans="1:9" ht="15" customHeight="1" x14ac:dyDescent="0.25">
      <c r="A2" s="37" t="s">
        <v>75</v>
      </c>
    </row>
    <row r="3" spans="1:9" ht="15" customHeight="1" x14ac:dyDescent="0.25">
      <c r="A3" s="36"/>
      <c r="B3" s="36"/>
      <c r="C3" s="36"/>
      <c r="D3" s="36"/>
      <c r="E3" s="36"/>
      <c r="F3" s="36"/>
      <c r="G3" s="36"/>
      <c r="H3" s="36"/>
      <c r="I3" s="36"/>
    </row>
    <row r="5" spans="1:9" ht="15" customHeight="1" x14ac:dyDescent="0.25">
      <c r="A5" s="35" t="s">
        <v>74</v>
      </c>
      <c r="B5" s="35"/>
      <c r="C5" s="35"/>
      <c r="D5" s="35"/>
      <c r="E5" s="35"/>
      <c r="F5" s="35"/>
      <c r="G5" s="35"/>
      <c r="H5" s="35"/>
      <c r="I5" s="35"/>
    </row>
    <row r="6" spans="1:9" ht="15" customHeight="1" x14ac:dyDescent="0.25">
      <c r="A6" s="35" t="s">
        <v>73</v>
      </c>
      <c r="B6" s="35"/>
      <c r="C6" s="35"/>
      <c r="D6" s="35"/>
      <c r="E6" s="35"/>
      <c r="F6" s="35"/>
      <c r="G6" s="35"/>
      <c r="H6" s="35"/>
      <c r="I6" s="35"/>
    </row>
    <row r="7" spans="1:9" ht="15" customHeight="1" x14ac:dyDescent="0.25">
      <c r="A7" s="35" t="s">
        <v>72</v>
      </c>
      <c r="B7" s="35"/>
      <c r="C7" s="35"/>
      <c r="D7" s="35"/>
      <c r="E7" s="35"/>
      <c r="F7" s="35"/>
      <c r="G7" s="35"/>
      <c r="H7" s="35"/>
      <c r="I7" s="35"/>
    </row>
    <row r="8" spans="1:9" ht="15" customHeight="1" x14ac:dyDescent="0.25">
      <c r="A8" s="35"/>
      <c r="B8" s="35" t="s">
        <v>71</v>
      </c>
      <c r="C8" s="35" t="s">
        <v>70</v>
      </c>
      <c r="D8" s="35" t="s">
        <v>69</v>
      </c>
      <c r="E8" s="35" t="s">
        <v>68</v>
      </c>
      <c r="F8" s="35" t="s">
        <v>67</v>
      </c>
      <c r="G8" s="35" t="s">
        <v>66</v>
      </c>
      <c r="H8" s="35" t="s">
        <v>65</v>
      </c>
      <c r="I8" s="35" t="s">
        <v>64</v>
      </c>
    </row>
    <row r="9" spans="1:9" ht="15" customHeight="1" x14ac:dyDescent="0.25">
      <c r="A9" s="35"/>
      <c r="B9" s="35" t="s">
        <v>63</v>
      </c>
      <c r="C9" s="35"/>
      <c r="D9" s="35"/>
      <c r="E9" s="35"/>
      <c r="F9" s="35"/>
      <c r="G9" s="35"/>
      <c r="H9" s="35"/>
      <c r="I9" s="35"/>
    </row>
    <row r="10" spans="1:9" ht="15" customHeight="1" x14ac:dyDescent="0.25">
      <c r="A10" s="17" t="s">
        <v>62</v>
      </c>
      <c r="B10" s="28">
        <v>3896.163</v>
      </c>
      <c r="C10" s="28">
        <v>2865.5070000000001</v>
      </c>
      <c r="D10" s="28">
        <v>2225.0120000000002</v>
      </c>
      <c r="E10" s="28">
        <v>1905.8710000000001</v>
      </c>
      <c r="F10" s="28">
        <v>1541.8889999999999</v>
      </c>
      <c r="G10" s="28">
        <v>1092.673</v>
      </c>
      <c r="H10" s="28">
        <v>742.55499999999995</v>
      </c>
      <c r="I10" s="28">
        <v>595.40899999999999</v>
      </c>
    </row>
    <row r="11" spans="1:9" ht="15" customHeight="1" outlineLevel="1" x14ac:dyDescent="0.25">
      <c r="A11" s="16" t="s">
        <v>61</v>
      </c>
      <c r="B11" s="15">
        <v>747.74400000000003</v>
      </c>
      <c r="C11" s="15">
        <v>565.99</v>
      </c>
      <c r="D11" s="15">
        <v>431.10500000000002</v>
      </c>
      <c r="E11" s="15">
        <v>408.54899999999998</v>
      </c>
      <c r="F11" s="15">
        <v>339.404</v>
      </c>
      <c r="G11" s="15">
        <v>352.54700000000003</v>
      </c>
      <c r="H11" s="15">
        <v>242.37299999999999</v>
      </c>
      <c r="I11" s="15">
        <v>165.40100000000001</v>
      </c>
    </row>
    <row r="12" spans="1:9" ht="15" customHeight="1" outlineLevel="2" x14ac:dyDescent="0.25">
      <c r="A12" s="14" t="s">
        <v>60</v>
      </c>
      <c r="B12" s="13">
        <v>721.61099999999999</v>
      </c>
      <c r="C12" s="13">
        <v>534.40300000000002</v>
      </c>
      <c r="D12" s="13">
        <v>397.75099999999998</v>
      </c>
      <c r="E12" s="13">
        <v>386.02699999999999</v>
      </c>
      <c r="F12" s="13">
        <v>324.50700000000001</v>
      </c>
      <c r="G12" s="13">
        <v>338.67599999999999</v>
      </c>
      <c r="H12" s="13">
        <v>230.173</v>
      </c>
      <c r="I12" s="13">
        <v>151.601</v>
      </c>
    </row>
    <row r="13" spans="1:9" ht="15" customHeight="1" outlineLevel="2" x14ac:dyDescent="0.25">
      <c r="A13" s="34" t="s">
        <v>20</v>
      </c>
      <c r="B13" s="15">
        <v>26.132999999999999</v>
      </c>
      <c r="C13" s="15">
        <v>31.587</v>
      </c>
      <c r="D13" s="15">
        <v>33.353999999999999</v>
      </c>
      <c r="E13" s="15">
        <v>22.521999999999998</v>
      </c>
      <c r="F13" s="15">
        <v>14.897</v>
      </c>
      <c r="G13" s="15">
        <v>13.871</v>
      </c>
      <c r="H13" s="15">
        <v>12.2</v>
      </c>
      <c r="I13" s="15">
        <v>13.8</v>
      </c>
    </row>
    <row r="14" spans="1:9" ht="15" customHeight="1" outlineLevel="3" x14ac:dyDescent="0.25">
      <c r="A14" s="31" t="s">
        <v>59</v>
      </c>
      <c r="B14" s="13">
        <v>21.286999999999999</v>
      </c>
      <c r="C14" s="13">
        <v>23.786999999999999</v>
      </c>
      <c r="D14" s="13">
        <v>33.353999999999999</v>
      </c>
      <c r="E14" s="13">
        <v>22.521999999999998</v>
      </c>
      <c r="F14" s="13">
        <v>14.897</v>
      </c>
      <c r="G14" s="13">
        <v>13.871</v>
      </c>
      <c r="H14" s="13">
        <v>12.2</v>
      </c>
      <c r="I14" s="13">
        <v>13.8</v>
      </c>
    </row>
    <row r="15" spans="1:9" ht="15" customHeight="1" outlineLevel="3" x14ac:dyDescent="0.25">
      <c r="A15" s="32" t="s">
        <v>58</v>
      </c>
      <c r="B15" s="10">
        <v>4.8460000000000001</v>
      </c>
      <c r="C15" s="10">
        <v>7.8</v>
      </c>
      <c r="D15" s="10">
        <v>0</v>
      </c>
      <c r="E15" s="10">
        <v>0</v>
      </c>
      <c r="F15" s="18"/>
      <c r="G15" s="18"/>
      <c r="H15" s="18"/>
      <c r="I15" s="18"/>
    </row>
    <row r="16" spans="1:9" ht="15" customHeight="1" x14ac:dyDescent="0.25">
      <c r="A16" s="17" t="s">
        <v>57</v>
      </c>
      <c r="B16" s="28">
        <v>3148.4189999999999</v>
      </c>
      <c r="C16" s="28">
        <v>2299.5169999999998</v>
      </c>
      <c r="D16" s="28">
        <v>1793.9069999999999</v>
      </c>
      <c r="E16" s="28">
        <v>1497.3219999999999</v>
      </c>
      <c r="F16" s="28">
        <v>1202.4849999999999</v>
      </c>
      <c r="G16" s="28">
        <v>740.12599999999998</v>
      </c>
      <c r="H16" s="28">
        <v>500.18200000000002</v>
      </c>
      <c r="I16" s="28">
        <v>430.00799999999998</v>
      </c>
    </row>
    <row r="17" spans="1:9" ht="15" customHeight="1" outlineLevel="1" x14ac:dyDescent="0.25">
      <c r="A17" s="16" t="s">
        <v>56</v>
      </c>
      <c r="B17" s="15">
        <v>2298.7550000000001</v>
      </c>
      <c r="C17" s="15">
        <v>1989.114</v>
      </c>
      <c r="D17" s="15">
        <v>1673.941</v>
      </c>
      <c r="E17" s="15">
        <v>1658.5229999999999</v>
      </c>
      <c r="F17" s="15">
        <v>1613.5309999999999</v>
      </c>
      <c r="G17" s="15">
        <v>1913.8050000000001</v>
      </c>
      <c r="H17" s="15">
        <v>1076.626</v>
      </c>
      <c r="I17" s="15">
        <v>1053.4480000000001</v>
      </c>
    </row>
    <row r="18" spans="1:9" ht="15" customHeight="1" outlineLevel="2" x14ac:dyDescent="0.25">
      <c r="A18" s="14" t="s">
        <v>55</v>
      </c>
      <c r="B18" s="13">
        <v>585.625</v>
      </c>
      <c r="C18" s="13">
        <v>507.87799999999999</v>
      </c>
      <c r="D18" s="13">
        <v>404.62400000000002</v>
      </c>
      <c r="E18" s="13">
        <v>359.67899999999997</v>
      </c>
      <c r="F18" s="13">
        <v>387.48700000000002</v>
      </c>
      <c r="G18" s="13">
        <v>560.66</v>
      </c>
      <c r="H18" s="13">
        <v>305.56299999999999</v>
      </c>
      <c r="I18" s="13">
        <v>285.45100000000002</v>
      </c>
    </row>
    <row r="19" spans="1:9" ht="15" customHeight="1" outlineLevel="2" x14ac:dyDescent="0.25">
      <c r="A19" s="11" t="s">
        <v>54</v>
      </c>
      <c r="B19" s="10">
        <v>1713.13</v>
      </c>
      <c r="C19" s="10">
        <v>1481.2360000000001</v>
      </c>
      <c r="D19" s="10">
        <v>1269.317</v>
      </c>
      <c r="E19" s="10">
        <v>1298.8440000000001</v>
      </c>
      <c r="F19" s="10">
        <v>1226.0440000000001</v>
      </c>
      <c r="G19" s="10">
        <v>1353.145</v>
      </c>
      <c r="H19" s="10">
        <v>771.06299999999999</v>
      </c>
      <c r="I19" s="10">
        <v>767.99699999999996</v>
      </c>
    </row>
    <row r="20" spans="1:9" ht="15" customHeight="1" x14ac:dyDescent="0.25">
      <c r="A20" s="17" t="s">
        <v>53</v>
      </c>
      <c r="B20" s="28">
        <v>849.66399999999999</v>
      </c>
      <c r="C20" s="28">
        <v>310.40300000000002</v>
      </c>
      <c r="D20" s="28">
        <v>119.96599999999999</v>
      </c>
      <c r="E20" s="28">
        <v>-161.20099999999999</v>
      </c>
      <c r="F20" s="28">
        <v>-411.04599999999999</v>
      </c>
      <c r="G20" s="28">
        <v>-1173.6790000000001</v>
      </c>
      <c r="H20" s="28">
        <v>-576.44399999999996</v>
      </c>
      <c r="I20" s="28">
        <v>-623.44000000000005</v>
      </c>
    </row>
    <row r="21" spans="1:9" ht="15" customHeight="1" outlineLevel="1" x14ac:dyDescent="0.25">
      <c r="A21" s="16" t="s">
        <v>52</v>
      </c>
      <c r="B21" s="15">
        <v>258.75900000000001</v>
      </c>
      <c r="C21" s="15">
        <v>178.77</v>
      </c>
      <c r="D21" s="15">
        <v>125.095</v>
      </c>
      <c r="E21" s="15">
        <v>-81.067999999999998</v>
      </c>
      <c r="F21" s="15">
        <v>-73.808000000000007</v>
      </c>
      <c r="G21" s="15">
        <v>7.98</v>
      </c>
      <c r="H21" s="15">
        <v>12.237</v>
      </c>
      <c r="I21" s="15">
        <v>7.8620000000000001</v>
      </c>
    </row>
    <row r="22" spans="1:9" ht="15" customHeight="1" outlineLevel="2" x14ac:dyDescent="0.25">
      <c r="A22" s="14" t="s">
        <v>51</v>
      </c>
      <c r="B22" s="13">
        <v>221.185</v>
      </c>
      <c r="C22" s="13">
        <v>196.792</v>
      </c>
      <c r="D22" s="13">
        <v>132.572</v>
      </c>
      <c r="E22" s="13">
        <v>20.309000000000001</v>
      </c>
      <c r="F22" s="13">
        <v>1.607</v>
      </c>
      <c r="G22" s="13">
        <v>4.68</v>
      </c>
      <c r="H22" s="13">
        <v>15.09</v>
      </c>
      <c r="I22" s="13">
        <v>10.5</v>
      </c>
    </row>
    <row r="23" spans="1:9" ht="15" customHeight="1" outlineLevel="2" x14ac:dyDescent="0.25">
      <c r="A23" s="11" t="s">
        <v>50</v>
      </c>
      <c r="B23" s="10">
        <v>37.573999999999998</v>
      </c>
      <c r="C23" s="29">
        <v>-18.021999999999998</v>
      </c>
      <c r="D23" s="29">
        <v>-7.4770000000000003</v>
      </c>
      <c r="E23" s="29">
        <v>-101.377</v>
      </c>
      <c r="F23" s="29">
        <v>-75.415000000000006</v>
      </c>
      <c r="G23" s="10">
        <v>3.3</v>
      </c>
      <c r="H23" s="29">
        <v>-2.8530000000000002</v>
      </c>
      <c r="I23" s="29">
        <v>-2.6379999999999999</v>
      </c>
    </row>
    <row r="24" spans="1:9" ht="15" customHeight="1" outlineLevel="1" x14ac:dyDescent="0.25">
      <c r="A24" s="23" t="s">
        <v>49</v>
      </c>
      <c r="B24" s="28">
        <v>0</v>
      </c>
      <c r="C24" s="28">
        <v>0</v>
      </c>
      <c r="D24" s="28">
        <v>3.47</v>
      </c>
      <c r="E24" s="28">
        <v>4.0579999999999998</v>
      </c>
      <c r="F24" s="28">
        <v>3.64</v>
      </c>
      <c r="G24" s="28">
        <v>14.138999999999999</v>
      </c>
      <c r="H24" s="28">
        <v>3.0609999999999999</v>
      </c>
      <c r="I24" s="28">
        <v>3.44</v>
      </c>
    </row>
    <row r="25" spans="1:9" ht="15" customHeight="1" outlineLevel="2" x14ac:dyDescent="0.25">
      <c r="A25" s="11" t="s">
        <v>48</v>
      </c>
      <c r="B25" s="10">
        <v>0</v>
      </c>
      <c r="C25" s="10">
        <v>0</v>
      </c>
      <c r="D25" s="10">
        <v>3.47</v>
      </c>
      <c r="E25" s="10">
        <v>4.0579999999999998</v>
      </c>
      <c r="F25" s="10">
        <v>3.64</v>
      </c>
      <c r="G25" s="10">
        <v>14.138999999999999</v>
      </c>
      <c r="H25" s="10">
        <v>3.0609999999999999</v>
      </c>
      <c r="I25" s="10">
        <v>3.44</v>
      </c>
    </row>
    <row r="26" spans="1:9" ht="15" customHeight="1" outlineLevel="1" x14ac:dyDescent="0.25">
      <c r="A26" s="23" t="s">
        <v>47</v>
      </c>
      <c r="B26" s="28">
        <v>-8.1</v>
      </c>
      <c r="C26" s="28">
        <v>0</v>
      </c>
      <c r="D26" s="28">
        <v>4.5</v>
      </c>
      <c r="E26" s="28">
        <v>114.7</v>
      </c>
      <c r="F26" s="28">
        <v>0</v>
      </c>
      <c r="G26" s="28">
        <v>-0.81100000000000005</v>
      </c>
      <c r="H26" s="28">
        <v>3.0000000000000001E-3</v>
      </c>
      <c r="I26" s="28">
        <v>-48.093000000000004</v>
      </c>
    </row>
    <row r="27" spans="1:9" ht="15" customHeight="1" outlineLevel="2" x14ac:dyDescent="0.25">
      <c r="A27" s="11" t="s">
        <v>46</v>
      </c>
      <c r="B27" s="10">
        <v>0</v>
      </c>
      <c r="C27" s="10">
        <v>0</v>
      </c>
      <c r="D27" s="10">
        <v>0</v>
      </c>
      <c r="E27" s="29">
        <v>-44.3</v>
      </c>
      <c r="F27" s="10">
        <v>0</v>
      </c>
      <c r="G27" s="10">
        <v>0</v>
      </c>
      <c r="H27" s="10">
        <v>0</v>
      </c>
      <c r="I27" s="10">
        <v>0</v>
      </c>
    </row>
    <row r="28" spans="1:9" ht="15" customHeight="1" outlineLevel="2" x14ac:dyDescent="0.25">
      <c r="A28" s="33" t="s">
        <v>45</v>
      </c>
      <c r="B28" s="28">
        <v>8.1</v>
      </c>
      <c r="C28" s="28">
        <v>0</v>
      </c>
      <c r="D28" s="28">
        <v>-4.5</v>
      </c>
      <c r="E28" s="28">
        <v>-159</v>
      </c>
      <c r="F28" s="17"/>
      <c r="G28" s="28">
        <v>0.81100000000000005</v>
      </c>
      <c r="H28" s="28">
        <v>-3.0000000000000001E-3</v>
      </c>
      <c r="I28" s="28">
        <v>48.093000000000004</v>
      </c>
    </row>
    <row r="29" spans="1:9" ht="15" customHeight="1" outlineLevel="3" x14ac:dyDescent="0.25">
      <c r="A29" s="32" t="s">
        <v>44</v>
      </c>
      <c r="B29" s="10">
        <v>8.1</v>
      </c>
      <c r="C29" s="10">
        <v>0</v>
      </c>
      <c r="D29" s="29">
        <v>-4.5</v>
      </c>
      <c r="E29" s="29">
        <v>-159</v>
      </c>
      <c r="F29" s="18"/>
      <c r="G29" s="18"/>
      <c r="H29" s="18"/>
      <c r="I29" s="18"/>
    </row>
    <row r="30" spans="1:9" ht="15" customHeight="1" outlineLevel="3" x14ac:dyDescent="0.25">
      <c r="A30" s="31" t="s">
        <v>43</v>
      </c>
      <c r="B30" s="30"/>
      <c r="C30" s="30"/>
      <c r="D30" s="30"/>
      <c r="E30" s="30"/>
      <c r="F30" s="30"/>
      <c r="G30" s="13">
        <v>0.81100000000000005</v>
      </c>
      <c r="H30" s="12">
        <v>-3.0000000000000001E-3</v>
      </c>
      <c r="I30" s="13">
        <v>48.093000000000004</v>
      </c>
    </row>
    <row r="31" spans="1:9" ht="15" customHeight="1" x14ac:dyDescent="0.25">
      <c r="A31" s="27" t="s">
        <v>42</v>
      </c>
      <c r="B31" s="15">
        <v>1116.5229999999999</v>
      </c>
      <c r="C31" s="15">
        <v>489.173</v>
      </c>
      <c r="D31" s="15">
        <v>237.09100000000001</v>
      </c>
      <c r="E31" s="15">
        <v>-361.02699999999999</v>
      </c>
      <c r="F31" s="15">
        <v>-488.49400000000003</v>
      </c>
      <c r="G31" s="15">
        <v>-1179.027</v>
      </c>
      <c r="H31" s="15">
        <v>-567.27099999999996</v>
      </c>
      <c r="I31" s="15">
        <v>-570.92499999999995</v>
      </c>
    </row>
    <row r="32" spans="1:9" ht="15" customHeight="1" outlineLevel="1" x14ac:dyDescent="0.25">
      <c r="A32" s="23" t="s">
        <v>41</v>
      </c>
      <c r="B32" s="28">
        <v>16.55</v>
      </c>
      <c r="C32" s="28">
        <v>21.254999999999999</v>
      </c>
      <c r="D32" s="28">
        <v>19.716000000000001</v>
      </c>
      <c r="E32" s="28">
        <v>10.067</v>
      </c>
      <c r="F32" s="28">
        <v>31.885000000000002</v>
      </c>
      <c r="G32" s="28">
        <v>-12.635999999999999</v>
      </c>
      <c r="H32" s="28">
        <v>12.375</v>
      </c>
      <c r="I32" s="28">
        <v>9.1020000000000003</v>
      </c>
    </row>
    <row r="33" spans="1:9" ht="15" customHeight="1" outlineLevel="2" x14ac:dyDescent="0.25">
      <c r="A33" s="11" t="s">
        <v>40</v>
      </c>
      <c r="B33" s="18"/>
      <c r="C33" s="10">
        <v>1.556</v>
      </c>
      <c r="D33" s="10">
        <v>2.3330000000000002</v>
      </c>
      <c r="E33" s="10">
        <v>0.76500000000000001</v>
      </c>
      <c r="F33" s="29">
        <v>-8.7999999999999995E-2</v>
      </c>
      <c r="G33" s="10">
        <v>0.5</v>
      </c>
      <c r="H33" s="10">
        <v>0.13900000000000001</v>
      </c>
      <c r="I33" s="10">
        <v>0.14199999999999999</v>
      </c>
    </row>
    <row r="34" spans="1:9" ht="15" customHeight="1" outlineLevel="2" x14ac:dyDescent="0.25">
      <c r="A34" s="14" t="s">
        <v>39</v>
      </c>
      <c r="B34" s="30"/>
      <c r="C34" s="13">
        <v>20.265000000000001</v>
      </c>
      <c r="D34" s="13">
        <v>22.189</v>
      </c>
      <c r="E34" s="13">
        <v>9.4760000000000009</v>
      </c>
      <c r="F34" s="12">
        <v>-11.343</v>
      </c>
      <c r="G34" s="13">
        <v>7.2489999999999997</v>
      </c>
      <c r="H34" s="13">
        <v>19.434999999999999</v>
      </c>
      <c r="I34" s="13">
        <v>15.945</v>
      </c>
    </row>
    <row r="35" spans="1:9" ht="15" customHeight="1" outlineLevel="2" x14ac:dyDescent="0.25">
      <c r="A35" s="11" t="s">
        <v>38</v>
      </c>
      <c r="B35" s="18"/>
      <c r="C35" s="10">
        <v>0</v>
      </c>
      <c r="D35" s="10">
        <v>0</v>
      </c>
      <c r="E35" s="10">
        <v>0</v>
      </c>
      <c r="F35" s="29">
        <v>-0.111</v>
      </c>
      <c r="G35" s="10">
        <v>0</v>
      </c>
      <c r="H35" s="10">
        <v>0</v>
      </c>
      <c r="I35" s="10">
        <v>0</v>
      </c>
    </row>
    <row r="36" spans="1:9" ht="15" customHeight="1" outlineLevel="2" x14ac:dyDescent="0.25">
      <c r="A36" s="14" t="s">
        <v>37</v>
      </c>
      <c r="B36" s="30"/>
      <c r="C36" s="12">
        <v>-0.56599999999999995</v>
      </c>
      <c r="D36" s="12">
        <v>-4.806</v>
      </c>
      <c r="E36" s="12">
        <v>-0.17399999999999999</v>
      </c>
      <c r="F36" s="13">
        <v>43.427</v>
      </c>
      <c r="G36" s="12">
        <v>-20.385000000000002</v>
      </c>
      <c r="H36" s="12">
        <v>-7.1989999999999998</v>
      </c>
      <c r="I36" s="12">
        <v>-6.9850000000000003</v>
      </c>
    </row>
    <row r="37" spans="1:9" ht="15" customHeight="1" outlineLevel="1" x14ac:dyDescent="0.25">
      <c r="A37" s="20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29">
        <v>-5.4829999999999997</v>
      </c>
      <c r="H37" s="29">
        <v>-8.4809999999999999</v>
      </c>
      <c r="I37" s="10">
        <v>0</v>
      </c>
    </row>
    <row r="38" spans="1:9" ht="15" customHeight="1" x14ac:dyDescent="0.25">
      <c r="A38" s="17" t="s">
        <v>35</v>
      </c>
      <c r="B38" s="28">
        <v>1099.973</v>
      </c>
      <c r="C38" s="28">
        <v>467.91800000000001</v>
      </c>
      <c r="D38" s="28">
        <v>217.375</v>
      </c>
      <c r="E38" s="28">
        <v>-371.09399999999999</v>
      </c>
      <c r="F38" s="28">
        <v>-520.37900000000002</v>
      </c>
      <c r="G38" s="28">
        <v>-1171.874</v>
      </c>
      <c r="H38" s="28">
        <v>-588.12699999999995</v>
      </c>
      <c r="I38" s="28">
        <v>-580.02700000000004</v>
      </c>
    </row>
    <row r="39" spans="1:9" ht="15" customHeight="1" outlineLevel="1" x14ac:dyDescent="0.25">
      <c r="A39" s="20" t="s">
        <v>34</v>
      </c>
      <c r="B39" s="10">
        <v>4.6070000000000002</v>
      </c>
      <c r="C39" s="10">
        <v>5.7279999999999998</v>
      </c>
      <c r="D39" s="10">
        <v>7.55</v>
      </c>
      <c r="E39" s="10">
        <v>2.6110000000000002</v>
      </c>
      <c r="F39" s="10">
        <v>0</v>
      </c>
      <c r="G39" s="10">
        <v>0</v>
      </c>
      <c r="H39" s="10">
        <v>0</v>
      </c>
      <c r="I39" s="10">
        <v>0</v>
      </c>
    </row>
    <row r="40" spans="1:9" ht="15" customHeight="1" x14ac:dyDescent="0.25">
      <c r="A40" s="17" t="s">
        <v>33</v>
      </c>
      <c r="B40" s="28">
        <v>1095.366</v>
      </c>
      <c r="C40" s="28">
        <v>462.19</v>
      </c>
      <c r="D40" s="28">
        <v>209.82499999999999</v>
      </c>
      <c r="E40" s="28">
        <v>-373.70499999999998</v>
      </c>
      <c r="F40" s="28">
        <v>-520.37900000000002</v>
      </c>
      <c r="G40" s="28">
        <v>-1171.874</v>
      </c>
      <c r="H40" s="28">
        <v>-588.12699999999995</v>
      </c>
      <c r="I40" s="28">
        <v>-580.02700000000004</v>
      </c>
    </row>
    <row r="41" spans="1:9" ht="15" customHeight="1" outlineLevel="1" x14ac:dyDescent="0.25">
      <c r="A41" s="20" t="s">
        <v>32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18.097999999999999</v>
      </c>
    </row>
    <row r="42" spans="1:9" ht="15" customHeight="1" outlineLevel="1" x14ac:dyDescent="0.25">
      <c r="A42" s="26" t="s">
        <v>31</v>
      </c>
      <c r="B42" s="13">
        <v>1095.366</v>
      </c>
      <c r="C42" s="13">
        <v>462.19</v>
      </c>
      <c r="D42" s="13">
        <v>209.82499999999999</v>
      </c>
      <c r="E42" s="12">
        <v>-373.70499999999998</v>
      </c>
      <c r="F42" s="12">
        <v>-520.37900000000002</v>
      </c>
      <c r="G42" s="12">
        <v>-1171.874</v>
      </c>
      <c r="H42" s="12">
        <v>-588.12699999999995</v>
      </c>
      <c r="I42" s="12">
        <v>-598.125</v>
      </c>
    </row>
    <row r="43" spans="1:9" ht="15" customHeight="1" x14ac:dyDescent="0.25">
      <c r="A43" s="27" t="s">
        <v>30</v>
      </c>
      <c r="B43" s="27"/>
      <c r="C43" s="27"/>
      <c r="D43" s="27"/>
      <c r="E43" s="27"/>
      <c r="F43" s="27"/>
      <c r="G43" s="27"/>
      <c r="H43" s="27"/>
      <c r="I43" s="27"/>
    </row>
    <row r="44" spans="1:9" ht="15" customHeight="1" outlineLevel="1" x14ac:dyDescent="0.25">
      <c r="A44" s="26" t="s">
        <v>29</v>
      </c>
      <c r="B44" s="21">
        <v>0.42383199999999999</v>
      </c>
      <c r="C44" s="21">
        <v>0.188586</v>
      </c>
      <c r="D44" s="21">
        <v>9.2680999999999999E-2</v>
      </c>
      <c r="E44" s="25">
        <v>-0.14217299999999999</v>
      </c>
      <c r="F44" s="25">
        <v>-0.27052100000000001</v>
      </c>
      <c r="G44" s="25">
        <v>-0.65421300000000004</v>
      </c>
      <c r="H44" s="25">
        <v>-0.340609</v>
      </c>
      <c r="I44" s="25">
        <v>-0.365898</v>
      </c>
    </row>
    <row r="45" spans="1:9" ht="15" customHeight="1" outlineLevel="1" x14ac:dyDescent="0.25">
      <c r="A45" s="16" t="s">
        <v>28</v>
      </c>
      <c r="B45" s="24">
        <v>0.46360000000000001</v>
      </c>
      <c r="C45" s="24">
        <v>0.2054</v>
      </c>
      <c r="D45" s="24">
        <v>9.7699999999999995E-2</v>
      </c>
      <c r="E45" s="24">
        <v>-0.18110000000000001</v>
      </c>
      <c r="F45" s="24">
        <v>-0.27050000000000002</v>
      </c>
      <c r="G45" s="24">
        <v>-0.65390000000000004</v>
      </c>
      <c r="H45" s="24">
        <v>-0.34060000000000001</v>
      </c>
      <c r="I45" s="24">
        <v>-0.34639999999999999</v>
      </c>
    </row>
    <row r="46" spans="1:9" ht="15" customHeight="1" outlineLevel="2" x14ac:dyDescent="0.25">
      <c r="A46" s="14" t="s">
        <v>27</v>
      </c>
      <c r="B46" s="21">
        <v>2377.1669999999999</v>
      </c>
      <c r="C46" s="21">
        <v>2250.163</v>
      </c>
      <c r="D46" s="21">
        <v>2147.4459999999999</v>
      </c>
      <c r="E46" s="21">
        <v>2063.7930000000001</v>
      </c>
      <c r="F46" s="21">
        <v>1923.617</v>
      </c>
      <c r="G46" s="21">
        <v>1792.1395439999999</v>
      </c>
      <c r="H46" s="21">
        <v>1726.685755</v>
      </c>
      <c r="I46" s="21">
        <v>1726.685755</v>
      </c>
    </row>
    <row r="47" spans="1:9" ht="15" customHeight="1" outlineLevel="2" x14ac:dyDescent="0.25">
      <c r="A47" s="11" t="s">
        <v>24</v>
      </c>
      <c r="B47" s="19">
        <v>2383.3139999999999</v>
      </c>
      <c r="C47" s="19">
        <v>2338.7950000000001</v>
      </c>
      <c r="D47" s="19">
        <v>2200.1280000000002</v>
      </c>
      <c r="E47" s="19">
        <v>2099.0749999999998</v>
      </c>
      <c r="F47" s="19">
        <v>2128.3589999999999</v>
      </c>
      <c r="G47" s="19">
        <v>1792.1395439999999</v>
      </c>
      <c r="H47" s="19">
        <v>1726.685755</v>
      </c>
      <c r="I47" s="19">
        <v>1726.685755</v>
      </c>
    </row>
    <row r="48" spans="1:9" ht="15" customHeight="1" outlineLevel="1" x14ac:dyDescent="0.25">
      <c r="A48" s="23" t="s">
        <v>26</v>
      </c>
      <c r="B48" s="22">
        <v>0.42759999999999998</v>
      </c>
      <c r="C48" s="22">
        <v>0.18859999999999999</v>
      </c>
      <c r="D48" s="22">
        <v>9.1300000000000006E-2</v>
      </c>
      <c r="E48" s="22">
        <v>-0.18110000000000001</v>
      </c>
      <c r="F48" s="22">
        <v>-0.27050000000000002</v>
      </c>
      <c r="G48" s="22">
        <v>-0.65390000000000004</v>
      </c>
      <c r="H48" s="22">
        <v>-0.34060000000000001</v>
      </c>
      <c r="I48" s="22">
        <v>-0.34639999999999999</v>
      </c>
    </row>
    <row r="49" spans="1:9" ht="15" customHeight="1" outlineLevel="2" x14ac:dyDescent="0.25">
      <c r="A49" s="11" t="s">
        <v>25</v>
      </c>
      <c r="B49" s="19">
        <v>2571.0569999999998</v>
      </c>
      <c r="C49" s="19">
        <v>2450.8180000000002</v>
      </c>
      <c r="D49" s="19">
        <v>2297.9270000000001</v>
      </c>
      <c r="E49" s="19">
        <v>2063.7930000000001</v>
      </c>
      <c r="F49" s="19">
        <v>1923.617</v>
      </c>
      <c r="G49" s="19">
        <v>1792.1395439999999</v>
      </c>
      <c r="H49" s="19">
        <v>1726.685755</v>
      </c>
      <c r="I49" s="19">
        <v>1726.685755</v>
      </c>
    </row>
    <row r="50" spans="1:9" ht="15" customHeight="1" outlineLevel="2" x14ac:dyDescent="0.25">
      <c r="A50" s="14" t="s">
        <v>24</v>
      </c>
      <c r="B50" s="21">
        <v>2383.3139999999999</v>
      </c>
      <c r="C50" s="21">
        <v>2338.7950000000001</v>
      </c>
      <c r="D50" s="21">
        <v>2200.1280000000002</v>
      </c>
      <c r="E50" s="21">
        <v>2099.0749999999998</v>
      </c>
      <c r="F50" s="21">
        <v>2128.3589999999999</v>
      </c>
      <c r="G50" s="21">
        <v>1792.1395439999999</v>
      </c>
      <c r="H50" s="21">
        <v>1726.685755</v>
      </c>
      <c r="I50" s="21">
        <v>1726.685755</v>
      </c>
    </row>
    <row r="51" spans="1:9" ht="15" customHeight="1" outlineLevel="1" x14ac:dyDescent="0.25">
      <c r="A51" s="20" t="s">
        <v>23</v>
      </c>
      <c r="B51" s="18"/>
      <c r="C51" s="19">
        <v>34.01</v>
      </c>
      <c r="D51" s="19">
        <v>0</v>
      </c>
      <c r="E51" s="19">
        <v>7.1109999999999998</v>
      </c>
      <c r="F51" s="19">
        <v>0</v>
      </c>
      <c r="G51" s="19">
        <v>27.795000000000002</v>
      </c>
      <c r="H51" s="19">
        <v>70.185000000000002</v>
      </c>
      <c r="I51" s="18"/>
    </row>
    <row r="52" spans="1:9" ht="15" customHeight="1" x14ac:dyDescent="0.25">
      <c r="A52" s="17" t="s">
        <v>22</v>
      </c>
      <c r="B52" s="17"/>
      <c r="C52" s="17"/>
      <c r="D52" s="17"/>
      <c r="E52" s="17"/>
      <c r="F52" s="17"/>
      <c r="G52" s="17"/>
      <c r="H52" s="17"/>
      <c r="I52" s="17"/>
    </row>
    <row r="53" spans="1:9" ht="15" customHeight="1" outlineLevel="1" x14ac:dyDescent="0.25">
      <c r="A53" s="16" t="s">
        <v>22</v>
      </c>
      <c r="B53" s="15">
        <v>875.79700000000003</v>
      </c>
      <c r="C53" s="15">
        <v>341.99</v>
      </c>
      <c r="D53" s="15">
        <v>153.32</v>
      </c>
      <c r="E53" s="15">
        <v>-138.679</v>
      </c>
      <c r="F53" s="15">
        <v>-396.149</v>
      </c>
      <c r="G53" s="15">
        <v>-1159.808</v>
      </c>
      <c r="H53" s="15">
        <v>-564.24400000000003</v>
      </c>
      <c r="I53" s="15">
        <v>-609.64</v>
      </c>
    </row>
    <row r="54" spans="1:9" ht="15" customHeight="1" outlineLevel="2" x14ac:dyDescent="0.25">
      <c r="A54" s="14" t="s">
        <v>21</v>
      </c>
      <c r="B54" s="13">
        <v>849.66399999999999</v>
      </c>
      <c r="C54" s="13">
        <v>310.40300000000002</v>
      </c>
      <c r="D54" s="13">
        <v>119.96599999999999</v>
      </c>
      <c r="E54" s="12">
        <v>-161.20099999999999</v>
      </c>
      <c r="F54" s="12">
        <v>-411.04599999999999</v>
      </c>
      <c r="G54" s="12">
        <v>-1173.6790000000001</v>
      </c>
      <c r="H54" s="12">
        <v>-576.44399999999996</v>
      </c>
      <c r="I54" s="12">
        <v>-623.44000000000005</v>
      </c>
    </row>
    <row r="55" spans="1:9" ht="15" customHeight="1" outlineLevel="2" x14ac:dyDescent="0.25">
      <c r="A55" s="11" t="s">
        <v>20</v>
      </c>
      <c r="B55" s="10">
        <v>26.132999999999999</v>
      </c>
      <c r="C55" s="10">
        <v>31.587</v>
      </c>
      <c r="D55" s="10">
        <v>33.353999999999999</v>
      </c>
      <c r="E55" s="10">
        <v>22.521999999999998</v>
      </c>
      <c r="F55" s="10">
        <v>14.897</v>
      </c>
      <c r="G55" s="10">
        <v>13.871</v>
      </c>
      <c r="H55" s="10">
        <v>12.2</v>
      </c>
      <c r="I55" s="10">
        <v>13.8</v>
      </c>
    </row>
    <row r="56" spans="1:9" ht="15" customHeight="1" x14ac:dyDescent="0.25">
      <c r="A56" s="9" t="s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8DD3-CF8C-48A4-B9C0-172D5FD2E6DF}">
  <sheetPr codeName="Sheet7">
    <outlinePr summaryBelow="0" summaryRight="0"/>
  </sheetPr>
  <dimension ref="A1:I57"/>
  <sheetViews>
    <sheetView workbookViewId="0">
      <selection activeCell="C19" sqref="C19:I19"/>
    </sheetView>
  </sheetViews>
  <sheetFormatPr defaultColWidth="9.109375" defaultRowHeight="15" customHeight="1" outlineLevelRow="3" x14ac:dyDescent="0.25"/>
  <cols>
    <col min="1" max="1" width="54.5546875" style="8" customWidth="1"/>
    <col min="2" max="9" width="8" style="8" customWidth="1"/>
    <col min="10" max="16384" width="9.109375" style="8"/>
  </cols>
  <sheetData>
    <row r="1" spans="1:9" ht="15" customHeight="1" x14ac:dyDescent="0.25">
      <c r="A1" s="38" t="s">
        <v>76</v>
      </c>
    </row>
    <row r="2" spans="1:9" ht="15" customHeight="1" x14ac:dyDescent="0.25">
      <c r="A2" s="37" t="s">
        <v>75</v>
      </c>
    </row>
    <row r="3" spans="1:9" ht="15" customHeight="1" x14ac:dyDescent="0.25">
      <c r="A3" s="36"/>
      <c r="B3" s="36"/>
      <c r="C3" s="36"/>
      <c r="D3" s="36"/>
      <c r="E3" s="36"/>
      <c r="F3" s="36"/>
      <c r="G3" s="36"/>
      <c r="H3" s="36"/>
      <c r="I3" s="36"/>
    </row>
    <row r="5" spans="1:9" ht="15" customHeight="1" x14ac:dyDescent="0.25">
      <c r="A5" s="35" t="s">
        <v>74</v>
      </c>
      <c r="B5" s="35"/>
      <c r="C5" s="35"/>
      <c r="D5" s="35"/>
      <c r="E5" s="35"/>
      <c r="F5" s="35"/>
      <c r="G5" s="35"/>
      <c r="H5" s="35"/>
      <c r="I5" s="35"/>
    </row>
    <row r="6" spans="1:9" ht="15" customHeight="1" x14ac:dyDescent="0.25">
      <c r="A6" s="35" t="s">
        <v>73</v>
      </c>
      <c r="B6" s="35"/>
      <c r="C6" s="35"/>
      <c r="D6" s="35"/>
      <c r="E6" s="35"/>
      <c r="F6" s="35"/>
      <c r="G6" s="35"/>
      <c r="H6" s="35"/>
      <c r="I6" s="35"/>
    </row>
    <row r="7" spans="1:9" ht="15" customHeight="1" x14ac:dyDescent="0.25">
      <c r="A7" s="35" t="s">
        <v>72</v>
      </c>
      <c r="B7" s="35"/>
      <c r="C7" s="35"/>
      <c r="D7" s="35"/>
      <c r="E7" s="35"/>
      <c r="F7" s="35"/>
      <c r="G7" s="35"/>
      <c r="H7" s="35"/>
      <c r="I7" s="35"/>
    </row>
    <row r="8" spans="1:9" ht="15" customHeight="1" x14ac:dyDescent="0.25">
      <c r="A8" s="35"/>
      <c r="B8" s="35" t="s">
        <v>71</v>
      </c>
      <c r="C8" s="35" t="s">
        <v>70</v>
      </c>
      <c r="D8" s="35" t="s">
        <v>69</v>
      </c>
      <c r="E8" s="35" t="s">
        <v>68</v>
      </c>
      <c r="F8" s="35" t="s">
        <v>67</v>
      </c>
      <c r="G8" s="35" t="s">
        <v>66</v>
      </c>
      <c r="H8" s="35" t="s">
        <v>65</v>
      </c>
      <c r="I8" s="35" t="s">
        <v>64</v>
      </c>
    </row>
    <row r="9" spans="1:9" ht="15" customHeight="1" x14ac:dyDescent="0.25">
      <c r="A9" s="35"/>
      <c r="B9" s="35" t="s">
        <v>63</v>
      </c>
      <c r="C9" s="35"/>
      <c r="D9" s="35"/>
      <c r="E9" s="35"/>
      <c r="F9" s="35"/>
      <c r="G9" s="35"/>
      <c r="H9" s="35"/>
      <c r="I9" s="35"/>
    </row>
    <row r="10" spans="1:9" ht="15" customHeight="1" x14ac:dyDescent="0.25">
      <c r="A10" s="17" t="s">
        <v>126</v>
      </c>
      <c r="B10" s="17"/>
      <c r="C10" s="17"/>
      <c r="D10" s="17"/>
      <c r="E10" s="17"/>
      <c r="F10" s="17"/>
      <c r="G10" s="17"/>
      <c r="H10" s="17"/>
      <c r="I10" s="17"/>
    </row>
    <row r="11" spans="1:9" ht="15" customHeight="1" outlineLevel="1" x14ac:dyDescent="0.25">
      <c r="A11" s="20" t="s">
        <v>125</v>
      </c>
      <c r="B11" s="10">
        <v>1099.973</v>
      </c>
      <c r="C11" s="10">
        <v>467.91800000000001</v>
      </c>
      <c r="D11" s="10">
        <v>217.375</v>
      </c>
      <c r="E11" s="29">
        <v>-371.09399999999999</v>
      </c>
      <c r="F11" s="29">
        <v>-520.37900000000002</v>
      </c>
      <c r="G11" s="29">
        <v>-1166.3910000000001</v>
      </c>
      <c r="H11" s="29">
        <v>-579.64599999999996</v>
      </c>
      <c r="I11" s="29">
        <v>-580.02700000000004</v>
      </c>
    </row>
    <row r="12" spans="1:9" ht="15" customHeight="1" outlineLevel="1" x14ac:dyDescent="0.25">
      <c r="A12" s="23" t="s">
        <v>124</v>
      </c>
      <c r="B12" s="28">
        <v>26.132999999999999</v>
      </c>
      <c r="C12" s="28">
        <v>31.587</v>
      </c>
      <c r="D12" s="28">
        <v>33.353999999999999</v>
      </c>
      <c r="E12" s="28">
        <v>22.521999999999998</v>
      </c>
      <c r="F12" s="28">
        <v>14.897</v>
      </c>
      <c r="G12" s="28">
        <v>13.871</v>
      </c>
      <c r="H12" s="28">
        <v>12.255000000000001</v>
      </c>
      <c r="I12" s="28">
        <v>13.91</v>
      </c>
    </row>
    <row r="13" spans="1:9" ht="15" customHeight="1" outlineLevel="2" x14ac:dyDescent="0.25">
      <c r="A13" s="11" t="s">
        <v>123</v>
      </c>
      <c r="B13" s="10">
        <v>21.286999999999999</v>
      </c>
      <c r="C13" s="10">
        <v>23.786999999999999</v>
      </c>
      <c r="D13" s="10">
        <v>33.353999999999999</v>
      </c>
      <c r="E13" s="10">
        <v>22.521999999999998</v>
      </c>
      <c r="F13" s="10">
        <v>14.897</v>
      </c>
      <c r="G13" s="10">
        <v>13.871</v>
      </c>
      <c r="H13" s="10">
        <v>12.255000000000001</v>
      </c>
      <c r="I13" s="10">
        <v>13.91</v>
      </c>
    </row>
    <row r="14" spans="1:9" ht="15" customHeight="1" outlineLevel="2" x14ac:dyDescent="0.25">
      <c r="A14" s="14" t="s">
        <v>122</v>
      </c>
      <c r="B14" s="13">
        <v>4.8460000000000001</v>
      </c>
      <c r="C14" s="13">
        <v>7.8</v>
      </c>
      <c r="D14" s="30"/>
      <c r="E14" s="30"/>
      <c r="F14" s="30"/>
      <c r="G14" s="30"/>
      <c r="H14" s="30"/>
      <c r="I14" s="30"/>
    </row>
    <row r="15" spans="1:9" ht="15" customHeight="1" outlineLevel="1" x14ac:dyDescent="0.25">
      <c r="A15" s="16" t="s">
        <v>121</v>
      </c>
      <c r="B15" s="15">
        <v>0</v>
      </c>
      <c r="C15" s="15">
        <v>0</v>
      </c>
      <c r="D15" s="15">
        <v>-4.806</v>
      </c>
      <c r="E15" s="15">
        <v>-0.17399999999999999</v>
      </c>
      <c r="F15" s="15">
        <v>43.316000000000003</v>
      </c>
      <c r="G15" s="15">
        <v>0</v>
      </c>
      <c r="H15" s="15">
        <v>0</v>
      </c>
      <c r="I15" s="15">
        <v>0</v>
      </c>
    </row>
    <row r="16" spans="1:9" ht="15" customHeight="1" outlineLevel="2" x14ac:dyDescent="0.25">
      <c r="A16" s="14" t="s">
        <v>120</v>
      </c>
      <c r="B16" s="13">
        <v>0</v>
      </c>
      <c r="C16" s="13">
        <v>0</v>
      </c>
      <c r="D16" s="12">
        <v>-4.806</v>
      </c>
      <c r="E16" s="12">
        <v>-0.17399999999999999</v>
      </c>
      <c r="F16" s="13">
        <v>43.316000000000003</v>
      </c>
      <c r="G16" s="13">
        <v>0</v>
      </c>
      <c r="H16" s="13">
        <v>0</v>
      </c>
      <c r="I16" s="13">
        <v>0</v>
      </c>
    </row>
    <row r="17" spans="1:9" ht="15" customHeight="1" outlineLevel="1" x14ac:dyDescent="0.25">
      <c r="A17" s="20" t="s">
        <v>93</v>
      </c>
      <c r="B17" s="10">
        <v>748.64200000000005</v>
      </c>
      <c r="C17" s="10">
        <v>724.45699999999999</v>
      </c>
      <c r="D17" s="10">
        <v>460.024</v>
      </c>
      <c r="E17" s="10">
        <v>839.58600000000001</v>
      </c>
      <c r="F17" s="10">
        <v>888.06899999999996</v>
      </c>
      <c r="G17" s="10">
        <v>1310.0309999999999</v>
      </c>
      <c r="H17" s="10">
        <v>268.149</v>
      </c>
      <c r="I17" s="10">
        <v>224.53</v>
      </c>
    </row>
    <row r="18" spans="1:9" ht="15" customHeight="1" outlineLevel="1" x14ac:dyDescent="0.25">
      <c r="A18" s="26" t="s">
        <v>119</v>
      </c>
      <c r="B18" s="13">
        <v>1874.748</v>
      </c>
      <c r="C18" s="13">
        <v>1223.962</v>
      </c>
      <c r="D18" s="13">
        <v>705.947</v>
      </c>
      <c r="E18" s="13">
        <v>490.84</v>
      </c>
      <c r="F18" s="13">
        <v>425.90300000000002</v>
      </c>
      <c r="G18" s="13">
        <v>157.511</v>
      </c>
      <c r="H18" s="12">
        <v>-299.24200000000002</v>
      </c>
      <c r="I18" s="12">
        <v>-341.58699999999999</v>
      </c>
    </row>
    <row r="19" spans="1:9" ht="15" customHeight="1" outlineLevel="1" x14ac:dyDescent="0.25">
      <c r="A19" s="16" t="s">
        <v>118</v>
      </c>
      <c r="B19" s="15">
        <v>-57.243000000000002</v>
      </c>
      <c r="C19" s="15">
        <v>-70.096999999999994</v>
      </c>
      <c r="D19" s="15">
        <v>6.2359999999999998</v>
      </c>
      <c r="E19" s="15">
        <v>-267.10300000000001</v>
      </c>
      <c r="F19" s="15">
        <v>-92.052000000000007</v>
      </c>
      <c r="G19" s="15">
        <v>-454.11900000000003</v>
      </c>
      <c r="H19" s="15">
        <v>134.02699999999999</v>
      </c>
      <c r="I19" s="15">
        <v>302.57499999999999</v>
      </c>
    </row>
    <row r="20" spans="1:9" ht="15" customHeight="1" outlineLevel="2" x14ac:dyDescent="0.25">
      <c r="A20" s="14" t="s">
        <v>117</v>
      </c>
      <c r="B20" s="12">
        <v>-322.435</v>
      </c>
      <c r="C20" s="12">
        <v>-211.15700000000001</v>
      </c>
      <c r="D20" s="12">
        <v>-106.15900000000001</v>
      </c>
      <c r="E20" s="12">
        <v>-77.519000000000005</v>
      </c>
      <c r="F20" s="12">
        <v>-35.237000000000002</v>
      </c>
      <c r="G20" s="12">
        <v>-108.476</v>
      </c>
      <c r="H20" s="12">
        <v>-23.905000000000001</v>
      </c>
      <c r="I20" s="12">
        <v>-10.483000000000001</v>
      </c>
    </row>
    <row r="21" spans="1:9" ht="15" customHeight="1" outlineLevel="2" x14ac:dyDescent="0.25">
      <c r="A21" s="11" t="s">
        <v>116</v>
      </c>
      <c r="B21" s="10">
        <v>64.031000000000006</v>
      </c>
      <c r="C21" s="29">
        <v>-18.841000000000001</v>
      </c>
      <c r="D21" s="29">
        <v>-31.832000000000001</v>
      </c>
      <c r="E21" s="29">
        <v>-29.859000000000002</v>
      </c>
      <c r="F21" s="10">
        <v>57.767000000000003</v>
      </c>
      <c r="G21" s="29">
        <v>-34.680999999999997</v>
      </c>
      <c r="H21" s="10">
        <v>23.423999999999999</v>
      </c>
      <c r="I21" s="10">
        <v>10.968</v>
      </c>
    </row>
    <row r="22" spans="1:9" ht="15" customHeight="1" outlineLevel="2" x14ac:dyDescent="0.25">
      <c r="A22" s="14" t="s">
        <v>115</v>
      </c>
      <c r="B22" s="30"/>
      <c r="C22" s="13">
        <v>115.634</v>
      </c>
      <c r="D22" s="13">
        <v>52.895000000000003</v>
      </c>
      <c r="E22" s="13">
        <v>5.5270000000000001</v>
      </c>
      <c r="F22" s="13">
        <v>15.244999999999999</v>
      </c>
      <c r="G22" s="13">
        <v>38.505000000000003</v>
      </c>
      <c r="H22" s="13">
        <v>0.31900000000000001</v>
      </c>
      <c r="I22" s="13">
        <v>25.103000000000002</v>
      </c>
    </row>
    <row r="23" spans="1:9" ht="15" customHeight="1" outlineLevel="2" x14ac:dyDescent="0.25">
      <c r="A23" s="11" t="s">
        <v>114</v>
      </c>
      <c r="B23" s="10">
        <v>127.676</v>
      </c>
      <c r="C23" s="10">
        <v>44.267000000000003</v>
      </c>
      <c r="D23" s="10">
        <v>91.331999999999994</v>
      </c>
      <c r="E23" s="29">
        <v>-165.25200000000001</v>
      </c>
      <c r="F23" s="29">
        <v>-129.827</v>
      </c>
      <c r="G23" s="29">
        <v>-349.46699999999998</v>
      </c>
      <c r="H23" s="10">
        <v>134.18899999999999</v>
      </c>
      <c r="I23" s="10">
        <v>276.98700000000002</v>
      </c>
    </row>
    <row r="24" spans="1:9" ht="15" customHeight="1" outlineLevel="1" x14ac:dyDescent="0.25">
      <c r="A24" s="26" t="s">
        <v>113</v>
      </c>
      <c r="B24" s="13">
        <v>1817.5050000000001</v>
      </c>
      <c r="C24" s="13">
        <v>1153.865</v>
      </c>
      <c r="D24" s="13">
        <v>712.18299999999999</v>
      </c>
      <c r="E24" s="13">
        <v>223.73699999999999</v>
      </c>
      <c r="F24" s="13">
        <v>333.851</v>
      </c>
      <c r="G24" s="12">
        <v>-296.608</v>
      </c>
      <c r="H24" s="12">
        <v>-165.215</v>
      </c>
      <c r="I24" s="12">
        <v>-39.012</v>
      </c>
    </row>
    <row r="25" spans="1:9" ht="15" customHeight="1" x14ac:dyDescent="0.25">
      <c r="A25" s="27" t="s">
        <v>112</v>
      </c>
      <c r="B25" s="27"/>
      <c r="C25" s="27"/>
      <c r="D25" s="27"/>
      <c r="E25" s="27"/>
      <c r="F25" s="27"/>
      <c r="G25" s="27"/>
      <c r="H25" s="27"/>
      <c r="I25" s="27"/>
    </row>
    <row r="26" spans="1:9" ht="15" customHeight="1" outlineLevel="1" x14ac:dyDescent="0.25">
      <c r="A26" s="23" t="s">
        <v>111</v>
      </c>
      <c r="B26" s="28">
        <v>-23.716000000000001</v>
      </c>
      <c r="C26" s="28">
        <v>-12.634</v>
      </c>
      <c r="D26" s="28">
        <v>-15.114000000000001</v>
      </c>
      <c r="E26" s="28">
        <v>-40.027000000000001</v>
      </c>
      <c r="F26" s="28">
        <v>-12.627000000000001</v>
      </c>
      <c r="G26" s="28">
        <v>-12.236000000000001</v>
      </c>
      <c r="H26" s="28">
        <v>-13.096</v>
      </c>
      <c r="I26" s="28">
        <v>-15.404</v>
      </c>
    </row>
    <row r="27" spans="1:9" ht="15" customHeight="1" outlineLevel="2" x14ac:dyDescent="0.25">
      <c r="A27" s="11" t="s">
        <v>110</v>
      </c>
      <c r="B27" s="29">
        <v>-23.716000000000001</v>
      </c>
      <c r="C27" s="29">
        <v>-12.634</v>
      </c>
      <c r="D27" s="29">
        <v>-15.114000000000001</v>
      </c>
      <c r="E27" s="29">
        <v>-40.027000000000001</v>
      </c>
      <c r="F27" s="29">
        <v>-12.627000000000001</v>
      </c>
      <c r="G27" s="29">
        <v>-12.236000000000001</v>
      </c>
      <c r="H27" s="29">
        <v>-13.096</v>
      </c>
      <c r="I27" s="29">
        <v>-15.404</v>
      </c>
    </row>
    <row r="28" spans="1:9" ht="15" customHeight="1" outlineLevel="1" x14ac:dyDescent="0.25">
      <c r="A28" s="26" t="s">
        <v>109</v>
      </c>
      <c r="B28" s="13">
        <v>0</v>
      </c>
      <c r="C28" s="13">
        <v>0</v>
      </c>
      <c r="D28" s="13">
        <v>0</v>
      </c>
      <c r="E28" s="13">
        <v>66.707999999999998</v>
      </c>
      <c r="F28" s="13">
        <v>0</v>
      </c>
      <c r="G28" s="13">
        <v>0</v>
      </c>
      <c r="H28" s="13">
        <v>0</v>
      </c>
      <c r="I28" s="13">
        <v>0</v>
      </c>
    </row>
    <row r="29" spans="1:9" ht="15" customHeight="1" outlineLevel="1" x14ac:dyDescent="0.25">
      <c r="A29" s="20" t="s">
        <v>108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0.25</v>
      </c>
      <c r="H29" s="10">
        <v>0</v>
      </c>
      <c r="I29" s="10">
        <v>8.6199999999999992</v>
      </c>
    </row>
    <row r="30" spans="1:9" ht="15" customHeight="1" outlineLevel="1" x14ac:dyDescent="0.25">
      <c r="A30" s="23" t="s">
        <v>107</v>
      </c>
      <c r="B30" s="28">
        <v>-1086.271</v>
      </c>
      <c r="C30" s="28">
        <v>-322.40600000000001</v>
      </c>
      <c r="D30" s="28">
        <v>-2696.0659999999998</v>
      </c>
      <c r="E30" s="28">
        <v>-72.180999999999997</v>
      </c>
      <c r="F30" s="28">
        <v>-382.26499999999999</v>
      </c>
      <c r="G30" s="28">
        <v>-2.9340000000000002</v>
      </c>
      <c r="H30" s="28">
        <v>-8.8680000000000003</v>
      </c>
      <c r="I30" s="28">
        <v>0</v>
      </c>
    </row>
    <row r="31" spans="1:9" ht="15" customHeight="1" outlineLevel="2" x14ac:dyDescent="0.25">
      <c r="A31" s="11" t="s">
        <v>106</v>
      </c>
      <c r="B31" s="10">
        <v>8068.7269999999999</v>
      </c>
      <c r="C31" s="10">
        <v>5395.9129999999996</v>
      </c>
      <c r="D31" s="10">
        <v>5636.4059999999999</v>
      </c>
      <c r="E31" s="10">
        <v>124.5</v>
      </c>
      <c r="F31" s="10">
        <v>382.26499999999999</v>
      </c>
      <c r="G31" s="10">
        <v>2.9340000000000002</v>
      </c>
      <c r="H31" s="10">
        <v>25.867999999999999</v>
      </c>
      <c r="I31" s="10">
        <v>0</v>
      </c>
    </row>
    <row r="32" spans="1:9" ht="15" customHeight="1" outlineLevel="2" x14ac:dyDescent="0.25">
      <c r="A32" s="14" t="s">
        <v>105</v>
      </c>
      <c r="B32" s="13">
        <v>6982.4560000000001</v>
      </c>
      <c r="C32" s="13">
        <v>5073.5069999999996</v>
      </c>
      <c r="D32" s="13">
        <v>2940.34</v>
      </c>
      <c r="E32" s="13">
        <v>52.319000000000003</v>
      </c>
      <c r="F32" s="13">
        <v>0</v>
      </c>
      <c r="G32" s="13">
        <v>0</v>
      </c>
      <c r="H32" s="13">
        <v>17</v>
      </c>
      <c r="I32" s="13">
        <v>0</v>
      </c>
    </row>
    <row r="33" spans="1:9" ht="15" customHeight="1" outlineLevel="1" x14ac:dyDescent="0.25">
      <c r="A33" s="16" t="s">
        <v>93</v>
      </c>
      <c r="B33" s="15">
        <v>-75.539000000000001</v>
      </c>
      <c r="C33" s="15">
        <v>-5.6150000000000002</v>
      </c>
      <c r="D33" s="15">
        <v>0</v>
      </c>
      <c r="E33" s="15">
        <v>7.2999999999999995E-2</v>
      </c>
      <c r="F33" s="15">
        <v>-3.02</v>
      </c>
      <c r="G33" s="15">
        <v>0</v>
      </c>
      <c r="H33" s="15">
        <v>0</v>
      </c>
      <c r="I33" s="15">
        <v>0</v>
      </c>
    </row>
    <row r="34" spans="1:9" ht="15" customHeight="1" outlineLevel="2" x14ac:dyDescent="0.25">
      <c r="A34" s="14" t="s">
        <v>92</v>
      </c>
      <c r="B34" s="12">
        <v>-75.539000000000001</v>
      </c>
      <c r="C34" s="12">
        <v>-5.6150000000000002</v>
      </c>
      <c r="D34" s="13">
        <v>0</v>
      </c>
      <c r="E34" s="13">
        <v>0</v>
      </c>
      <c r="F34" s="12">
        <v>-3.02</v>
      </c>
      <c r="G34" s="13">
        <v>0</v>
      </c>
      <c r="H34" s="13">
        <v>0</v>
      </c>
      <c r="I34" s="13">
        <v>0</v>
      </c>
    </row>
    <row r="35" spans="1:9" ht="15" customHeight="1" outlineLevel="2" x14ac:dyDescent="0.25">
      <c r="A35" s="11" t="s">
        <v>91</v>
      </c>
      <c r="B35" s="10">
        <v>0</v>
      </c>
      <c r="C35" s="10">
        <v>0</v>
      </c>
      <c r="D35" s="10">
        <v>0</v>
      </c>
      <c r="E35" s="10">
        <v>7.2999999999999995E-2</v>
      </c>
      <c r="F35" s="10">
        <v>0</v>
      </c>
      <c r="G35" s="10">
        <v>0</v>
      </c>
      <c r="H35" s="10">
        <v>0</v>
      </c>
      <c r="I35" s="10">
        <v>0</v>
      </c>
    </row>
    <row r="36" spans="1:9" ht="15" customHeight="1" outlineLevel="1" x14ac:dyDescent="0.25">
      <c r="A36" s="26" t="s">
        <v>104</v>
      </c>
      <c r="B36" s="12">
        <v>-1185.5260000000001</v>
      </c>
      <c r="C36" s="12">
        <v>-340.65499999999997</v>
      </c>
      <c r="D36" s="12">
        <v>-2711.18</v>
      </c>
      <c r="E36" s="12">
        <v>-45.427</v>
      </c>
      <c r="F36" s="12">
        <v>-397.91199999999998</v>
      </c>
      <c r="G36" s="12">
        <v>-14.92</v>
      </c>
      <c r="H36" s="12">
        <v>-21.963999999999999</v>
      </c>
      <c r="I36" s="12">
        <v>-6.7839999999999998</v>
      </c>
    </row>
    <row r="37" spans="1:9" ht="15" customHeight="1" x14ac:dyDescent="0.25">
      <c r="A37" s="27" t="s">
        <v>103</v>
      </c>
      <c r="B37" s="27"/>
      <c r="C37" s="27"/>
      <c r="D37" s="27"/>
      <c r="E37" s="27"/>
      <c r="F37" s="27"/>
      <c r="G37" s="27"/>
      <c r="H37" s="27"/>
      <c r="I37" s="27"/>
    </row>
    <row r="38" spans="1:9" ht="15" customHeight="1" outlineLevel="1" x14ac:dyDescent="0.25">
      <c r="A38" s="23" t="s">
        <v>102</v>
      </c>
      <c r="B38" s="28">
        <v>521.64099999999996</v>
      </c>
      <c r="C38" s="28">
        <v>681.2</v>
      </c>
      <c r="D38" s="28">
        <v>218.238</v>
      </c>
      <c r="E38" s="28">
        <v>86.088999999999999</v>
      </c>
      <c r="F38" s="28">
        <v>0</v>
      </c>
      <c r="G38" s="28">
        <v>1237.5809999999999</v>
      </c>
      <c r="H38" s="28">
        <v>-68.677999999999997</v>
      </c>
      <c r="I38" s="28">
        <v>101.44499999999999</v>
      </c>
    </row>
    <row r="39" spans="1:9" ht="15" customHeight="1" outlineLevel="2" x14ac:dyDescent="0.25">
      <c r="A39" s="11" t="s">
        <v>101</v>
      </c>
      <c r="B39" s="29">
        <v>-74.387</v>
      </c>
      <c r="C39" s="29">
        <v>-64.195999999999998</v>
      </c>
      <c r="D39" s="10">
        <v>0</v>
      </c>
      <c r="E39" s="10">
        <v>0</v>
      </c>
      <c r="F39" s="10">
        <v>0</v>
      </c>
      <c r="G39" s="29">
        <v>-3.7770000000000001</v>
      </c>
      <c r="H39" s="29">
        <v>-193.07499999999999</v>
      </c>
      <c r="I39" s="29">
        <v>-7.7060000000000004</v>
      </c>
    </row>
    <row r="40" spans="1:9" ht="15" customHeight="1" outlineLevel="2" x14ac:dyDescent="0.25">
      <c r="A40" s="33" t="s">
        <v>100</v>
      </c>
      <c r="B40" s="28">
        <v>596.02800000000002</v>
      </c>
      <c r="C40" s="28">
        <v>745.39599999999996</v>
      </c>
      <c r="D40" s="28">
        <v>218.238</v>
      </c>
      <c r="E40" s="28">
        <v>86.088999999999999</v>
      </c>
      <c r="F40" s="28">
        <v>0</v>
      </c>
      <c r="G40" s="28">
        <v>1241.3579999999999</v>
      </c>
      <c r="H40" s="28">
        <v>124.39700000000001</v>
      </c>
      <c r="I40" s="28">
        <v>109.151</v>
      </c>
    </row>
    <row r="41" spans="1:9" ht="15" customHeight="1" outlineLevel="3" x14ac:dyDescent="0.25">
      <c r="A41" s="32" t="s">
        <v>99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942.529</v>
      </c>
      <c r="H41" s="10">
        <v>107.5</v>
      </c>
      <c r="I41" s="10">
        <v>96.48</v>
      </c>
    </row>
    <row r="42" spans="1:9" ht="15" customHeight="1" outlineLevel="3" x14ac:dyDescent="0.25">
      <c r="A42" s="31" t="s">
        <v>98</v>
      </c>
      <c r="B42" s="13">
        <v>596.02800000000002</v>
      </c>
      <c r="C42" s="13">
        <v>745.39599999999996</v>
      </c>
      <c r="D42" s="13">
        <v>218.238</v>
      </c>
      <c r="E42" s="13">
        <v>86.088999999999999</v>
      </c>
      <c r="F42" s="13">
        <v>0</v>
      </c>
      <c r="G42" s="13">
        <v>298.82900000000001</v>
      </c>
      <c r="H42" s="13">
        <v>16.896999999999998</v>
      </c>
      <c r="I42" s="13">
        <v>12.670999999999999</v>
      </c>
    </row>
    <row r="43" spans="1:9" ht="15" customHeight="1" outlineLevel="1" x14ac:dyDescent="0.25">
      <c r="A43" s="16" t="s">
        <v>97</v>
      </c>
      <c r="B43" s="15">
        <v>0</v>
      </c>
      <c r="C43" s="15">
        <v>0</v>
      </c>
      <c r="D43" s="15">
        <v>0</v>
      </c>
      <c r="E43" s="15">
        <v>0</v>
      </c>
      <c r="F43" s="15">
        <v>307.45499999999998</v>
      </c>
      <c r="G43" s="15">
        <v>-200.631</v>
      </c>
      <c r="H43" s="15">
        <v>394.41300000000001</v>
      </c>
      <c r="I43" s="15">
        <v>-56.491</v>
      </c>
    </row>
    <row r="44" spans="1:9" ht="15" customHeight="1" outlineLevel="2" x14ac:dyDescent="0.25">
      <c r="A44" s="33" t="s">
        <v>96</v>
      </c>
      <c r="B44" s="28">
        <v>0</v>
      </c>
      <c r="C44" s="28">
        <v>0</v>
      </c>
      <c r="D44" s="28">
        <v>0</v>
      </c>
      <c r="E44" s="28">
        <v>0</v>
      </c>
      <c r="F44" s="28">
        <v>307.45499999999998</v>
      </c>
      <c r="G44" s="28">
        <v>-200.631</v>
      </c>
      <c r="H44" s="28">
        <v>394.41300000000001</v>
      </c>
      <c r="I44" s="28">
        <v>-56.491</v>
      </c>
    </row>
    <row r="45" spans="1:9" ht="15" customHeight="1" outlineLevel="3" x14ac:dyDescent="0.25">
      <c r="A45" s="32" t="s">
        <v>95</v>
      </c>
      <c r="B45" s="10">
        <v>0</v>
      </c>
      <c r="C45" s="10">
        <v>0</v>
      </c>
      <c r="D45" s="10">
        <v>0</v>
      </c>
      <c r="E45" s="10">
        <v>0</v>
      </c>
      <c r="F45" s="10">
        <v>507.45499999999998</v>
      </c>
      <c r="G45" s="10">
        <v>199.369</v>
      </c>
      <c r="H45" s="10">
        <v>544.41300000000001</v>
      </c>
      <c r="I45" s="10">
        <v>0</v>
      </c>
    </row>
    <row r="46" spans="1:9" ht="15" customHeight="1" outlineLevel="3" x14ac:dyDescent="0.25">
      <c r="A46" s="31" t="s">
        <v>94</v>
      </c>
      <c r="B46" s="13">
        <v>0</v>
      </c>
      <c r="C46" s="13">
        <v>0</v>
      </c>
      <c r="D46" s="13">
        <v>0</v>
      </c>
      <c r="E46" s="13">
        <v>0</v>
      </c>
      <c r="F46" s="12">
        <v>-200</v>
      </c>
      <c r="G46" s="12">
        <v>-400</v>
      </c>
      <c r="H46" s="12">
        <v>-150</v>
      </c>
      <c r="I46" s="12">
        <v>-56.491</v>
      </c>
    </row>
    <row r="47" spans="1:9" ht="15" customHeight="1" outlineLevel="1" x14ac:dyDescent="0.25">
      <c r="A47" s="16" t="s">
        <v>93</v>
      </c>
      <c r="B47" s="15">
        <v>-298.98899999999998</v>
      </c>
      <c r="C47" s="15">
        <v>-217.83600000000001</v>
      </c>
      <c r="D47" s="15">
        <v>0.60099999999999998</v>
      </c>
      <c r="E47" s="15">
        <v>-9.2999999999999999E-2</v>
      </c>
      <c r="F47" s="15">
        <v>-0.70799999999999996</v>
      </c>
      <c r="G47" s="15">
        <v>-0.497</v>
      </c>
      <c r="H47" s="15">
        <v>-1.202</v>
      </c>
      <c r="I47" s="15">
        <v>1.2</v>
      </c>
    </row>
    <row r="48" spans="1:9" ht="15" customHeight="1" outlineLevel="2" x14ac:dyDescent="0.25">
      <c r="A48" s="14" t="s">
        <v>92</v>
      </c>
      <c r="B48" s="12">
        <v>-299.39699999999999</v>
      </c>
      <c r="C48" s="12">
        <v>-218.28</v>
      </c>
      <c r="D48" s="13">
        <v>0</v>
      </c>
      <c r="E48" s="12">
        <v>-9.2999999999999999E-2</v>
      </c>
      <c r="F48" s="12">
        <v>-0.70799999999999996</v>
      </c>
      <c r="G48" s="12">
        <v>-0.497</v>
      </c>
      <c r="H48" s="12">
        <v>-1.202</v>
      </c>
      <c r="I48" s="13">
        <v>0</v>
      </c>
    </row>
    <row r="49" spans="1:9" ht="15" customHeight="1" outlineLevel="2" x14ac:dyDescent="0.25">
      <c r="A49" s="11" t="s">
        <v>91</v>
      </c>
      <c r="B49" s="10">
        <v>0.40799999999999997</v>
      </c>
      <c r="C49" s="10">
        <v>0.44400000000000001</v>
      </c>
      <c r="D49" s="10">
        <v>0.60099999999999998</v>
      </c>
      <c r="E49" s="10">
        <v>0</v>
      </c>
      <c r="F49" s="10">
        <v>0</v>
      </c>
      <c r="G49" s="10">
        <v>0</v>
      </c>
      <c r="H49" s="10">
        <v>0</v>
      </c>
      <c r="I49" s="10">
        <v>1.2</v>
      </c>
    </row>
    <row r="50" spans="1:9" ht="15" customHeight="1" outlineLevel="1" x14ac:dyDescent="0.25">
      <c r="A50" s="26" t="s">
        <v>90</v>
      </c>
      <c r="B50" s="13">
        <v>222.65199999999999</v>
      </c>
      <c r="C50" s="13">
        <v>463.36399999999998</v>
      </c>
      <c r="D50" s="13">
        <v>218.839</v>
      </c>
      <c r="E50" s="13">
        <v>85.995999999999995</v>
      </c>
      <c r="F50" s="13">
        <v>306.74700000000001</v>
      </c>
      <c r="G50" s="13">
        <v>1036.453</v>
      </c>
      <c r="H50" s="13">
        <v>324.53300000000002</v>
      </c>
      <c r="I50" s="13">
        <v>46.154000000000003</v>
      </c>
    </row>
    <row r="51" spans="1:9" ht="15" customHeight="1" x14ac:dyDescent="0.25">
      <c r="A51" s="27" t="s">
        <v>89</v>
      </c>
      <c r="B51" s="27"/>
      <c r="C51" s="27"/>
      <c r="D51" s="27"/>
      <c r="E51" s="27"/>
      <c r="F51" s="27"/>
      <c r="G51" s="27"/>
      <c r="H51" s="27"/>
      <c r="I51" s="27"/>
    </row>
    <row r="52" spans="1:9" ht="15" customHeight="1" outlineLevel="1" x14ac:dyDescent="0.25">
      <c r="A52" s="26" t="s">
        <v>88</v>
      </c>
      <c r="B52" s="13">
        <v>1.7390000000000001</v>
      </c>
      <c r="C52" s="12">
        <v>-6.7450000000000001</v>
      </c>
      <c r="D52" s="13">
        <v>2.93</v>
      </c>
      <c r="E52" s="12">
        <v>-3.8849999999999998</v>
      </c>
      <c r="F52" s="12">
        <v>-3.9180000000000001</v>
      </c>
      <c r="G52" s="13">
        <v>1.2589999999999999</v>
      </c>
      <c r="H52" s="12">
        <v>-2.2269999999999999</v>
      </c>
      <c r="I52" s="12">
        <v>-3.7029999999999998</v>
      </c>
    </row>
    <row r="53" spans="1:9" ht="15" customHeight="1" outlineLevel="1" x14ac:dyDescent="0.25">
      <c r="A53" s="20" t="s">
        <v>87</v>
      </c>
      <c r="B53" s="10">
        <v>856.37</v>
      </c>
      <c r="C53" s="10">
        <v>1269.829</v>
      </c>
      <c r="D53" s="29">
        <v>-1777.2280000000001</v>
      </c>
      <c r="E53" s="10">
        <v>260.42099999999999</v>
      </c>
      <c r="F53" s="10">
        <v>238.768</v>
      </c>
      <c r="G53" s="10">
        <v>726.18399999999997</v>
      </c>
      <c r="H53" s="10">
        <v>135.12700000000001</v>
      </c>
      <c r="I53" s="29">
        <v>-3.3450000000000002</v>
      </c>
    </row>
    <row r="54" spans="1:9" ht="15" customHeight="1" outlineLevel="1" x14ac:dyDescent="0.25">
      <c r="A54" s="23" t="s">
        <v>86</v>
      </c>
      <c r="B54" s="28">
        <v>1793.789</v>
      </c>
      <c r="C54" s="28">
        <v>1141.231</v>
      </c>
      <c r="D54" s="28">
        <v>697.06899999999996</v>
      </c>
      <c r="E54" s="28">
        <v>183.71</v>
      </c>
      <c r="F54" s="28">
        <v>321.22399999999999</v>
      </c>
      <c r="G54" s="28">
        <v>-308.84399999999999</v>
      </c>
      <c r="H54" s="28">
        <v>-178.31100000000001</v>
      </c>
      <c r="I54" s="28">
        <v>-54.415999999999997</v>
      </c>
    </row>
    <row r="55" spans="1:9" ht="15" customHeight="1" outlineLevel="2" x14ac:dyDescent="0.25">
      <c r="A55" s="11" t="s">
        <v>85</v>
      </c>
      <c r="B55" s="10">
        <v>0.697685</v>
      </c>
      <c r="C55" s="10">
        <v>0.46565299999999998</v>
      </c>
      <c r="D55" s="10">
        <v>0.30334699999999998</v>
      </c>
      <c r="E55" s="10">
        <v>8.9015999999999998E-2</v>
      </c>
      <c r="F55" s="10">
        <v>0.16699</v>
      </c>
      <c r="G55" s="29">
        <v>-0.17233299999999999</v>
      </c>
      <c r="H55" s="29">
        <v>-0.103268</v>
      </c>
      <c r="I55" s="29">
        <v>-3.1515000000000001E-2</v>
      </c>
    </row>
    <row r="56" spans="1:9" ht="15" customHeight="1" outlineLevel="2" x14ac:dyDescent="0.25">
      <c r="A56" s="14" t="s">
        <v>84</v>
      </c>
      <c r="B56" s="21">
        <v>0.382461</v>
      </c>
      <c r="C56" s="21">
        <v>0.615699</v>
      </c>
      <c r="D56" s="21">
        <v>1.766726</v>
      </c>
      <c r="E56" s="21">
        <v>1.386538</v>
      </c>
      <c r="F56" s="21">
        <v>0.91702099999999998</v>
      </c>
      <c r="G56" s="25">
        <v>-0.73177300000000001</v>
      </c>
      <c r="H56" s="30"/>
      <c r="I56" s="30"/>
    </row>
    <row r="57" spans="1:9" ht="15" customHeight="1" x14ac:dyDescent="0.25">
      <c r="A57" s="9" t="s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0518F-1437-4EDB-8AB5-7B19F284E653}">
  <sheetPr codeName="Sheet3">
    <outlinePr summaryBelow="0" summaryRight="0"/>
  </sheetPr>
  <dimension ref="A1:N18"/>
  <sheetViews>
    <sheetView workbookViewId="0">
      <selection activeCell="H11" sqref="H11"/>
    </sheetView>
  </sheetViews>
  <sheetFormatPr defaultColWidth="9.109375" defaultRowHeight="15" customHeight="1" outlineLevelRow="2" x14ac:dyDescent="0.25"/>
  <cols>
    <col min="1" max="1" width="23.44140625" style="8" customWidth="1"/>
    <col min="2" max="4" width="7.6640625" style="8" customWidth="1"/>
    <col min="5" max="5" width="7.5546875" style="8" customWidth="1"/>
    <col min="6" max="6" width="7.88671875" style="8" customWidth="1"/>
    <col min="7" max="9" width="8.88671875" style="8" customWidth="1"/>
    <col min="10" max="10" width="8.6640625" style="8" customWidth="1"/>
    <col min="11" max="11" width="9" style="8" customWidth="1"/>
    <col min="12" max="14" width="8.88671875" style="8" customWidth="1"/>
    <col min="15" max="16384" width="9.109375" style="8"/>
  </cols>
  <sheetData>
    <row r="1" spans="1:14" ht="15" customHeight="1" x14ac:dyDescent="0.25">
      <c r="A1" s="38" t="s">
        <v>151</v>
      </c>
    </row>
    <row r="2" spans="1:14" ht="15" customHeight="1" x14ac:dyDescent="0.25">
      <c r="A2" s="8" t="s">
        <v>150</v>
      </c>
    </row>
    <row r="3" spans="1:14" ht="15" customHeight="1" x14ac:dyDescent="0.25">
      <c r="A3" s="35"/>
      <c r="B3" s="35" t="s">
        <v>149</v>
      </c>
      <c r="C3" s="35" t="s">
        <v>148</v>
      </c>
      <c r="D3" s="35" t="s">
        <v>147</v>
      </c>
      <c r="E3" s="35" t="s">
        <v>146</v>
      </c>
      <c r="F3" s="35" t="s">
        <v>145</v>
      </c>
      <c r="G3" s="35" t="s">
        <v>144</v>
      </c>
      <c r="H3" s="35" t="s">
        <v>144</v>
      </c>
      <c r="I3" s="35" t="s">
        <v>143</v>
      </c>
      <c r="J3" s="35" t="s">
        <v>142</v>
      </c>
      <c r="K3" s="35" t="s">
        <v>141</v>
      </c>
      <c r="L3" s="35" t="s">
        <v>140</v>
      </c>
      <c r="M3" s="35" t="s">
        <v>140</v>
      </c>
      <c r="N3" s="35" t="s">
        <v>139</v>
      </c>
    </row>
    <row r="4" spans="1:14" ht="15" customHeight="1" x14ac:dyDescent="0.25">
      <c r="A4" s="44"/>
      <c r="B4" s="44"/>
      <c r="C4" s="44"/>
      <c r="D4" s="44" t="s">
        <v>138</v>
      </c>
      <c r="E4" s="44" t="s">
        <v>137</v>
      </c>
      <c r="F4" s="44" t="s">
        <v>136</v>
      </c>
      <c r="G4" s="44" t="s">
        <v>135</v>
      </c>
      <c r="H4" s="44"/>
      <c r="I4" s="44" t="s">
        <v>138</v>
      </c>
      <c r="J4" s="44" t="s">
        <v>137</v>
      </c>
      <c r="K4" s="44" t="s">
        <v>136</v>
      </c>
      <c r="L4" s="44" t="s">
        <v>135</v>
      </c>
      <c r="M4" s="44"/>
      <c r="N4" s="44"/>
    </row>
    <row r="5" spans="1:14" ht="15" customHeight="1" outlineLevel="1" x14ac:dyDescent="0.25">
      <c r="A5" s="16" t="s">
        <v>62</v>
      </c>
      <c r="B5" s="43">
        <v>2225.0100000000002</v>
      </c>
      <c r="C5" s="43">
        <v>2865.51</v>
      </c>
      <c r="D5" s="43">
        <v>883.85500000000002</v>
      </c>
      <c r="E5" s="43">
        <v>1003.7</v>
      </c>
      <c r="F5" s="43">
        <v>1181.0899999999999</v>
      </c>
      <c r="G5" s="43">
        <v>1319.59</v>
      </c>
      <c r="H5" s="43">
        <v>4405.79</v>
      </c>
      <c r="I5" s="43">
        <v>1322.72</v>
      </c>
      <c r="J5" s="43">
        <v>1444.14</v>
      </c>
      <c r="K5" s="43">
        <v>1622.94</v>
      </c>
      <c r="L5" s="43">
        <v>1793.87</v>
      </c>
      <c r="M5" s="43">
        <v>6292.71</v>
      </c>
      <c r="N5" s="43">
        <v>8734.7900000000009</v>
      </c>
    </row>
    <row r="6" spans="1:14" ht="15" customHeight="1" outlineLevel="2" x14ac:dyDescent="0.25">
      <c r="A6" s="14" t="s">
        <v>134</v>
      </c>
      <c r="B6" s="30" t="s">
        <v>128</v>
      </c>
      <c r="C6" s="30" t="s">
        <v>128</v>
      </c>
      <c r="D6" s="30" t="s">
        <v>128</v>
      </c>
      <c r="E6" s="30" t="s">
        <v>128</v>
      </c>
      <c r="F6" s="30" t="s">
        <v>128</v>
      </c>
      <c r="G6" s="40">
        <v>1340.32</v>
      </c>
      <c r="H6" s="30" t="s">
        <v>128</v>
      </c>
      <c r="I6" s="30" t="s">
        <v>128</v>
      </c>
      <c r="J6" s="30" t="s">
        <v>128</v>
      </c>
      <c r="K6" s="30" t="s">
        <v>128</v>
      </c>
      <c r="L6" s="30" t="s">
        <v>128</v>
      </c>
      <c r="M6" s="30" t="s">
        <v>128</v>
      </c>
      <c r="N6" s="30" t="s">
        <v>128</v>
      </c>
    </row>
    <row r="7" spans="1:14" ht="15" customHeight="1" outlineLevel="2" x14ac:dyDescent="0.25">
      <c r="A7" s="11" t="s">
        <v>131</v>
      </c>
      <c r="B7" s="41">
        <v>2216</v>
      </c>
      <c r="C7" s="41">
        <v>2805</v>
      </c>
      <c r="D7" s="41">
        <v>858</v>
      </c>
      <c r="E7" s="41">
        <v>934</v>
      </c>
      <c r="F7" s="41">
        <v>1083</v>
      </c>
      <c r="G7" s="41">
        <v>1327</v>
      </c>
      <c r="H7" s="41">
        <v>4396</v>
      </c>
      <c r="I7" s="18" t="s">
        <v>128</v>
      </c>
      <c r="J7" s="18" t="s">
        <v>128</v>
      </c>
      <c r="K7" s="18" t="s">
        <v>128</v>
      </c>
      <c r="L7" s="18" t="s">
        <v>128</v>
      </c>
      <c r="M7" s="18" t="s">
        <v>128</v>
      </c>
      <c r="N7" s="18" t="s">
        <v>128</v>
      </c>
    </row>
    <row r="8" spans="1:14" ht="15" customHeight="1" outlineLevel="2" x14ac:dyDescent="0.25">
      <c r="A8" s="14" t="s">
        <v>130</v>
      </c>
      <c r="B8" s="40">
        <v>2220</v>
      </c>
      <c r="C8" s="40">
        <v>2809</v>
      </c>
      <c r="D8" s="40">
        <v>862</v>
      </c>
      <c r="E8" s="40">
        <v>938</v>
      </c>
      <c r="F8" s="40">
        <v>1087</v>
      </c>
      <c r="G8" s="40">
        <v>1331</v>
      </c>
      <c r="H8" s="40">
        <v>4400</v>
      </c>
      <c r="I8" s="30" t="s">
        <v>128</v>
      </c>
      <c r="J8" s="30" t="s">
        <v>128</v>
      </c>
      <c r="K8" s="30" t="s">
        <v>128</v>
      </c>
      <c r="L8" s="30" t="s">
        <v>128</v>
      </c>
      <c r="M8" s="30" t="s">
        <v>128</v>
      </c>
      <c r="N8" s="30" t="s">
        <v>128</v>
      </c>
    </row>
    <row r="9" spans="1:14" ht="15" customHeight="1" outlineLevel="1" x14ac:dyDescent="0.25">
      <c r="A9" s="20" t="s">
        <v>133</v>
      </c>
      <c r="B9" s="41">
        <v>395.11</v>
      </c>
      <c r="C9" s="41">
        <v>496.92500000000001</v>
      </c>
      <c r="D9" s="41">
        <v>158</v>
      </c>
      <c r="E9" s="41">
        <v>178</v>
      </c>
      <c r="F9" s="41">
        <v>191.518</v>
      </c>
      <c r="G9" s="41">
        <v>219.41</v>
      </c>
      <c r="H9" s="41">
        <v>773.26400000000001</v>
      </c>
      <c r="I9" s="41">
        <v>224.95699999999999</v>
      </c>
      <c r="J9" s="41">
        <v>243.839</v>
      </c>
      <c r="K9" s="41">
        <v>270.536</v>
      </c>
      <c r="L9" s="41">
        <v>295.47500000000002</v>
      </c>
      <c r="M9" s="41">
        <v>1073.0999999999999</v>
      </c>
      <c r="N9" s="41">
        <v>1453.37</v>
      </c>
    </row>
    <row r="10" spans="1:14" ht="15" customHeight="1" outlineLevel="1" x14ac:dyDescent="0.25">
      <c r="A10" s="26" t="s">
        <v>57</v>
      </c>
      <c r="B10" s="40">
        <v>1829.9</v>
      </c>
      <c r="C10" s="40">
        <v>2368.58</v>
      </c>
      <c r="D10" s="40">
        <v>725.9</v>
      </c>
      <c r="E10" s="40">
        <v>825.7</v>
      </c>
      <c r="F10" s="40">
        <v>989.57399999999996</v>
      </c>
      <c r="G10" s="40">
        <v>1119.43</v>
      </c>
      <c r="H10" s="40">
        <v>3650.13</v>
      </c>
      <c r="I10" s="40">
        <v>1094.53</v>
      </c>
      <c r="J10" s="40">
        <v>1189.99</v>
      </c>
      <c r="K10" s="40">
        <v>1338.27</v>
      </c>
      <c r="L10" s="40">
        <v>1490.37</v>
      </c>
      <c r="M10" s="40">
        <v>5169.42</v>
      </c>
      <c r="N10" s="40">
        <v>7191.63</v>
      </c>
    </row>
    <row r="11" spans="1:14" ht="15" customHeight="1" outlineLevel="1" x14ac:dyDescent="0.25">
      <c r="A11" s="20" t="s">
        <v>22</v>
      </c>
      <c r="B11" s="41">
        <v>666.1</v>
      </c>
      <c r="C11" s="41">
        <v>1159.6500000000001</v>
      </c>
      <c r="D11" s="41">
        <v>397.33199999999999</v>
      </c>
      <c r="E11" s="41">
        <v>470.91399999999999</v>
      </c>
      <c r="F11" s="41">
        <v>606.51499999999999</v>
      </c>
      <c r="G11" s="41">
        <v>685.83399999999995</v>
      </c>
      <c r="H11" s="41">
        <v>2145.08</v>
      </c>
      <c r="I11" s="41">
        <v>667.55600000000004</v>
      </c>
      <c r="J11" s="41">
        <v>740.26199999999994</v>
      </c>
      <c r="K11" s="41">
        <v>828.70699999999999</v>
      </c>
      <c r="L11" s="41">
        <v>899.11699999999996</v>
      </c>
      <c r="M11" s="41">
        <v>3160.11</v>
      </c>
      <c r="N11" s="41">
        <v>4607.08</v>
      </c>
    </row>
    <row r="12" spans="1:14" ht="15" customHeight="1" outlineLevel="1" x14ac:dyDescent="0.25">
      <c r="A12" s="23" t="s">
        <v>132</v>
      </c>
      <c r="B12" s="42">
        <v>632.77599999999995</v>
      </c>
      <c r="C12" s="42">
        <v>1128.06</v>
      </c>
      <c r="D12" s="42">
        <v>390.71</v>
      </c>
      <c r="E12" s="42">
        <v>464.38499999999999</v>
      </c>
      <c r="F12" s="42">
        <v>600.54</v>
      </c>
      <c r="G12" s="42">
        <v>700.524</v>
      </c>
      <c r="H12" s="42">
        <v>2145.87</v>
      </c>
      <c r="I12" s="42">
        <v>637.78800000000001</v>
      </c>
      <c r="J12" s="42">
        <v>706.303</v>
      </c>
      <c r="K12" s="42">
        <v>819.50300000000004</v>
      </c>
      <c r="L12" s="42">
        <v>920.64</v>
      </c>
      <c r="M12" s="42">
        <v>3133.46</v>
      </c>
      <c r="N12" s="42">
        <v>4419.9799999999996</v>
      </c>
    </row>
    <row r="13" spans="1:14" ht="15" customHeight="1" outlineLevel="2" x14ac:dyDescent="0.25">
      <c r="A13" s="11" t="s">
        <v>131</v>
      </c>
      <c r="B13" s="41">
        <v>607</v>
      </c>
      <c r="C13" s="41">
        <v>1054</v>
      </c>
      <c r="D13" s="41">
        <v>354</v>
      </c>
      <c r="E13" s="41">
        <v>401</v>
      </c>
      <c r="F13" s="41">
        <v>493</v>
      </c>
      <c r="G13" s="41">
        <v>695</v>
      </c>
      <c r="H13" s="41">
        <v>2151</v>
      </c>
      <c r="I13" s="18" t="s">
        <v>128</v>
      </c>
      <c r="J13" s="18" t="s">
        <v>128</v>
      </c>
      <c r="K13" s="18" t="s">
        <v>128</v>
      </c>
      <c r="L13" s="18" t="s">
        <v>128</v>
      </c>
      <c r="M13" s="18" t="s">
        <v>128</v>
      </c>
      <c r="N13" s="18" t="s">
        <v>128</v>
      </c>
    </row>
    <row r="14" spans="1:14" ht="15" customHeight="1" outlineLevel="2" x14ac:dyDescent="0.25">
      <c r="A14" s="14" t="s">
        <v>130</v>
      </c>
      <c r="B14" s="40">
        <v>611</v>
      </c>
      <c r="C14" s="40">
        <v>1058</v>
      </c>
      <c r="D14" s="40">
        <v>358</v>
      </c>
      <c r="E14" s="40">
        <v>405</v>
      </c>
      <c r="F14" s="40">
        <v>497</v>
      </c>
      <c r="G14" s="40">
        <v>699</v>
      </c>
      <c r="H14" s="40">
        <v>2155</v>
      </c>
      <c r="I14" s="30" t="s">
        <v>128</v>
      </c>
      <c r="J14" s="30" t="s">
        <v>128</v>
      </c>
      <c r="K14" s="30" t="s">
        <v>128</v>
      </c>
      <c r="L14" s="30" t="s">
        <v>128</v>
      </c>
      <c r="M14" s="30" t="s">
        <v>128</v>
      </c>
      <c r="N14" s="30" t="s">
        <v>128</v>
      </c>
    </row>
    <row r="15" spans="1:14" ht="15" customHeight="1" outlineLevel="1" x14ac:dyDescent="0.25">
      <c r="A15" s="20" t="s">
        <v>129</v>
      </c>
      <c r="B15" s="18" t="s">
        <v>128</v>
      </c>
      <c r="C15" s="18" t="s">
        <v>128</v>
      </c>
      <c r="D15" s="41">
        <v>50.44</v>
      </c>
      <c r="E15" s="41">
        <v>56.2575</v>
      </c>
      <c r="F15" s="41">
        <v>59.762</v>
      </c>
      <c r="G15" s="41">
        <v>52.253300000000003</v>
      </c>
      <c r="H15" s="41">
        <v>218.726</v>
      </c>
      <c r="I15" s="41">
        <v>49.666699999999999</v>
      </c>
      <c r="J15" s="41">
        <v>50.333300000000001</v>
      </c>
      <c r="K15" s="41">
        <v>51</v>
      </c>
      <c r="L15" s="41">
        <v>51.666699999999999</v>
      </c>
      <c r="M15" s="41">
        <v>202.667</v>
      </c>
      <c r="N15" s="41">
        <v>240</v>
      </c>
    </row>
    <row r="16" spans="1:14" ht="15" customHeight="1" outlineLevel="1" x14ac:dyDescent="0.25">
      <c r="A16" s="26" t="s">
        <v>42</v>
      </c>
      <c r="B16" s="40">
        <v>749.9</v>
      </c>
      <c r="C16" s="40">
        <v>1306.83</v>
      </c>
      <c r="D16" s="40">
        <v>438</v>
      </c>
      <c r="E16" s="40">
        <v>527.21799999999996</v>
      </c>
      <c r="F16" s="40">
        <v>687.79200000000003</v>
      </c>
      <c r="G16" s="40">
        <v>765.14</v>
      </c>
      <c r="H16" s="40">
        <v>2374.4</v>
      </c>
      <c r="I16" s="40">
        <v>699.33600000000001</v>
      </c>
      <c r="J16" s="40">
        <v>769.255</v>
      </c>
      <c r="K16" s="40">
        <v>887.36300000000006</v>
      </c>
      <c r="L16" s="40">
        <v>993.197</v>
      </c>
      <c r="M16" s="40">
        <v>3413</v>
      </c>
      <c r="N16" s="40">
        <v>4963.28</v>
      </c>
    </row>
    <row r="17" spans="1:14" ht="15" customHeight="1" outlineLevel="1" x14ac:dyDescent="0.25">
      <c r="A17" s="20" t="s">
        <v>127</v>
      </c>
      <c r="B17" s="41">
        <v>170.721</v>
      </c>
      <c r="C17" s="41">
        <v>299.255</v>
      </c>
      <c r="D17" s="41">
        <v>99.9</v>
      </c>
      <c r="E17" s="41">
        <v>120.82</v>
      </c>
      <c r="F17" s="41">
        <v>157.9</v>
      </c>
      <c r="G17" s="41">
        <v>175.29300000000001</v>
      </c>
      <c r="H17" s="41">
        <v>555.04999999999995</v>
      </c>
      <c r="I17" s="41">
        <v>162.69999999999999</v>
      </c>
      <c r="J17" s="41">
        <v>177.10300000000001</v>
      </c>
      <c r="K17" s="41">
        <v>202.37799999999999</v>
      </c>
      <c r="L17" s="41">
        <v>225.33199999999999</v>
      </c>
      <c r="M17" s="41">
        <v>767.51300000000003</v>
      </c>
      <c r="N17" s="41">
        <v>955.07600000000002</v>
      </c>
    </row>
    <row r="18" spans="1:14" ht="15" customHeight="1" outlineLevel="1" x14ac:dyDescent="0.25">
      <c r="A18" s="26" t="s">
        <v>33</v>
      </c>
      <c r="B18" s="40">
        <v>571.60900000000004</v>
      </c>
      <c r="C18" s="40">
        <v>1001.85</v>
      </c>
      <c r="D18" s="40">
        <v>334.40499999999997</v>
      </c>
      <c r="E18" s="40">
        <v>404.55099999999999</v>
      </c>
      <c r="F18" s="40">
        <v>528.70899999999995</v>
      </c>
      <c r="G18" s="40">
        <v>596.697</v>
      </c>
      <c r="H18" s="40">
        <v>1857.07</v>
      </c>
      <c r="I18" s="40">
        <v>541.18299999999999</v>
      </c>
      <c r="J18" s="40">
        <v>596.327</v>
      </c>
      <c r="K18" s="40">
        <v>683.87</v>
      </c>
      <c r="L18" s="40">
        <v>764.18200000000002</v>
      </c>
      <c r="M18" s="40">
        <v>2671.37</v>
      </c>
      <c r="N18" s="40">
        <v>3891.86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6B6DF-8261-4E6B-A508-7F1D05934384}">
  <sheetPr codeName="Sheet6">
    <outlinePr summaryBelow="0" summaryRight="0"/>
  </sheetPr>
  <dimension ref="A1:N13"/>
  <sheetViews>
    <sheetView workbookViewId="0">
      <selection activeCell="H9" sqref="H9"/>
    </sheetView>
  </sheetViews>
  <sheetFormatPr defaultColWidth="9.109375" defaultRowHeight="15" customHeight="1" outlineLevelRow="2" x14ac:dyDescent="0.25"/>
  <cols>
    <col min="1" max="1" width="33.6640625" style="8" customWidth="1"/>
    <col min="2" max="4" width="7.6640625" style="8" customWidth="1"/>
    <col min="5" max="5" width="7.5546875" style="8" customWidth="1"/>
    <col min="6" max="6" width="7.88671875" style="8" customWidth="1"/>
    <col min="7" max="9" width="8.88671875" style="8" customWidth="1"/>
    <col min="10" max="10" width="8.6640625" style="8" customWidth="1"/>
    <col min="11" max="11" width="9" style="8" customWidth="1"/>
    <col min="12" max="14" width="8.88671875" style="8" customWidth="1"/>
    <col min="15" max="16384" width="9.109375" style="8"/>
  </cols>
  <sheetData>
    <row r="1" spans="1:14" ht="15" customHeight="1" x14ac:dyDescent="0.25">
      <c r="A1" s="38" t="s">
        <v>158</v>
      </c>
    </row>
    <row r="2" spans="1:14" ht="15" customHeight="1" x14ac:dyDescent="0.25">
      <c r="A2" s="8" t="s">
        <v>157</v>
      </c>
    </row>
    <row r="3" spans="1:14" ht="15" customHeight="1" x14ac:dyDescent="0.25">
      <c r="A3" s="35"/>
      <c r="B3" s="35" t="s">
        <v>149</v>
      </c>
      <c r="C3" s="35" t="s">
        <v>148</v>
      </c>
      <c r="D3" s="35" t="s">
        <v>147</v>
      </c>
      <c r="E3" s="35" t="s">
        <v>146</v>
      </c>
      <c r="F3" s="35" t="s">
        <v>145</v>
      </c>
      <c r="G3" s="35" t="s">
        <v>144</v>
      </c>
      <c r="H3" s="35" t="s">
        <v>144</v>
      </c>
      <c r="I3" s="35" t="s">
        <v>143</v>
      </c>
      <c r="J3" s="35" t="s">
        <v>142</v>
      </c>
      <c r="K3" s="35" t="s">
        <v>141</v>
      </c>
      <c r="L3" s="35" t="s">
        <v>140</v>
      </c>
      <c r="M3" s="35" t="s">
        <v>140</v>
      </c>
      <c r="N3" s="35" t="s">
        <v>139</v>
      </c>
    </row>
    <row r="4" spans="1:14" ht="15" customHeight="1" x14ac:dyDescent="0.25">
      <c r="A4" s="44"/>
      <c r="B4" s="44"/>
      <c r="C4" s="44"/>
      <c r="D4" s="44" t="s">
        <v>138</v>
      </c>
      <c r="E4" s="44" t="s">
        <v>137</v>
      </c>
      <c r="F4" s="44" t="s">
        <v>136</v>
      </c>
      <c r="G4" s="44" t="s">
        <v>135</v>
      </c>
      <c r="H4" s="44"/>
      <c r="I4" s="44" t="s">
        <v>138</v>
      </c>
      <c r="J4" s="44" t="s">
        <v>137</v>
      </c>
      <c r="K4" s="44" t="s">
        <v>136</v>
      </c>
      <c r="L4" s="44" t="s">
        <v>135</v>
      </c>
      <c r="M4" s="44"/>
      <c r="N4" s="44"/>
    </row>
    <row r="5" spans="1:14" ht="15" customHeight="1" outlineLevel="1" x14ac:dyDescent="0.25">
      <c r="A5" s="20" t="s">
        <v>111</v>
      </c>
      <c r="B5" s="41">
        <v>15.106999999999999</v>
      </c>
      <c r="C5" s="41">
        <v>12.634</v>
      </c>
      <c r="D5" s="41">
        <v>6.1840000000000002</v>
      </c>
      <c r="E5" s="41">
        <v>7.6340000000000003</v>
      </c>
      <c r="F5" s="41">
        <v>6.7919999999999998</v>
      </c>
      <c r="G5" s="41">
        <v>7.6847500000000002</v>
      </c>
      <c r="H5" s="41">
        <v>29.961200000000002</v>
      </c>
      <c r="I5" s="41">
        <v>9.0680599999999991</v>
      </c>
      <c r="J5" s="41">
        <v>9.5455900000000007</v>
      </c>
      <c r="K5" s="41">
        <v>10.047499999999999</v>
      </c>
      <c r="L5" s="41">
        <v>10.7073</v>
      </c>
      <c r="M5" s="41">
        <v>40.615400000000001</v>
      </c>
      <c r="N5" s="41">
        <v>49.0852</v>
      </c>
    </row>
    <row r="6" spans="1:14" ht="15" customHeight="1" outlineLevel="1" x14ac:dyDescent="0.25">
      <c r="A6" s="26" t="s">
        <v>156</v>
      </c>
      <c r="B6" s="40">
        <v>0</v>
      </c>
      <c r="C6" s="30" t="s">
        <v>128</v>
      </c>
      <c r="D6" s="30" t="s">
        <v>128</v>
      </c>
      <c r="E6" s="30" t="s">
        <v>128</v>
      </c>
      <c r="F6" s="30" t="s">
        <v>128</v>
      </c>
      <c r="G6" s="30" t="s">
        <v>128</v>
      </c>
      <c r="H6" s="30" t="s">
        <v>128</v>
      </c>
      <c r="I6" s="30" t="s">
        <v>128</v>
      </c>
      <c r="J6" s="30" t="s">
        <v>128</v>
      </c>
      <c r="K6" s="30" t="s">
        <v>128</v>
      </c>
      <c r="L6" s="30" t="s">
        <v>128</v>
      </c>
      <c r="M6" s="30" t="s">
        <v>128</v>
      </c>
      <c r="N6" s="30" t="s">
        <v>128</v>
      </c>
    </row>
    <row r="7" spans="1:14" ht="15" customHeight="1" outlineLevel="1" x14ac:dyDescent="0.25">
      <c r="A7" s="16" t="s">
        <v>86</v>
      </c>
      <c r="B7" s="43">
        <v>730.524</v>
      </c>
      <c r="C7" s="43">
        <v>1249.22</v>
      </c>
      <c r="D7" s="43">
        <v>370.37700000000001</v>
      </c>
      <c r="E7" s="43">
        <v>568.76900000000001</v>
      </c>
      <c r="F7" s="43">
        <v>539.86199999999997</v>
      </c>
      <c r="G7" s="43">
        <v>594.40700000000004</v>
      </c>
      <c r="H7" s="43">
        <v>2032.32</v>
      </c>
      <c r="I7" s="43">
        <v>561.33000000000004</v>
      </c>
      <c r="J7" s="43">
        <v>702.11</v>
      </c>
      <c r="K7" s="43">
        <v>612.21100000000001</v>
      </c>
      <c r="L7" s="43">
        <v>853.90099999999995</v>
      </c>
      <c r="M7" s="43">
        <v>2791.49</v>
      </c>
      <c r="N7" s="43">
        <v>3831.14</v>
      </c>
    </row>
    <row r="8" spans="1:14" ht="15" customHeight="1" outlineLevel="2" x14ac:dyDescent="0.25">
      <c r="A8" s="14" t="s">
        <v>131</v>
      </c>
      <c r="B8" s="30" t="s">
        <v>128</v>
      </c>
      <c r="C8" s="40">
        <v>1000</v>
      </c>
      <c r="D8" s="30" t="s">
        <v>128</v>
      </c>
      <c r="E8" s="30" t="s">
        <v>128</v>
      </c>
      <c r="F8" s="30" t="s">
        <v>128</v>
      </c>
      <c r="G8" s="30" t="s">
        <v>128</v>
      </c>
      <c r="H8" s="40">
        <v>1900</v>
      </c>
      <c r="I8" s="30" t="s">
        <v>128</v>
      </c>
      <c r="J8" s="30" t="s">
        <v>128</v>
      </c>
      <c r="K8" s="30" t="s">
        <v>128</v>
      </c>
      <c r="L8" s="30" t="s">
        <v>128</v>
      </c>
      <c r="M8" s="30" t="s">
        <v>128</v>
      </c>
      <c r="N8" s="30" t="s">
        <v>128</v>
      </c>
    </row>
    <row r="9" spans="1:14" ht="15" customHeight="1" outlineLevel="2" x14ac:dyDescent="0.25">
      <c r="A9" s="11" t="s">
        <v>130</v>
      </c>
      <c r="B9" s="18" t="s">
        <v>128</v>
      </c>
      <c r="C9" s="18" t="s">
        <v>128</v>
      </c>
      <c r="D9" s="18" t="s">
        <v>128</v>
      </c>
      <c r="E9" s="18" t="s">
        <v>128</v>
      </c>
      <c r="F9" s="18" t="s">
        <v>128</v>
      </c>
      <c r="G9" s="18" t="s">
        <v>128</v>
      </c>
      <c r="H9" s="41">
        <v>2100</v>
      </c>
      <c r="I9" s="18" t="s">
        <v>128</v>
      </c>
      <c r="J9" s="18" t="s">
        <v>128</v>
      </c>
      <c r="K9" s="18" t="s">
        <v>128</v>
      </c>
      <c r="L9" s="18" t="s">
        <v>128</v>
      </c>
      <c r="M9" s="18" t="s">
        <v>128</v>
      </c>
      <c r="N9" s="18" t="s">
        <v>128</v>
      </c>
    </row>
    <row r="10" spans="1:14" ht="15" customHeight="1" outlineLevel="1" x14ac:dyDescent="0.25">
      <c r="A10" s="26" t="s">
        <v>155</v>
      </c>
      <c r="B10" s="30" t="s">
        <v>128</v>
      </c>
      <c r="C10" s="30" t="s">
        <v>128</v>
      </c>
      <c r="D10" s="30" t="s">
        <v>128</v>
      </c>
      <c r="E10" s="30" t="s">
        <v>128</v>
      </c>
      <c r="F10" s="30" t="s">
        <v>128</v>
      </c>
      <c r="G10" s="30" t="s">
        <v>128</v>
      </c>
      <c r="H10" s="30" t="s">
        <v>128</v>
      </c>
      <c r="I10" s="30" t="s">
        <v>128</v>
      </c>
      <c r="J10" s="30" t="s">
        <v>128</v>
      </c>
      <c r="K10" s="30" t="s">
        <v>128</v>
      </c>
      <c r="L10" s="30" t="s">
        <v>128</v>
      </c>
      <c r="M10" s="30" t="s">
        <v>128</v>
      </c>
      <c r="N10" s="30" t="s">
        <v>128</v>
      </c>
    </row>
    <row r="11" spans="1:14" ht="15" customHeight="1" outlineLevel="1" x14ac:dyDescent="0.25">
      <c r="A11" s="20" t="s">
        <v>154</v>
      </c>
      <c r="B11" s="41">
        <v>712.19200000000001</v>
      </c>
      <c r="C11" s="41">
        <v>1153.8800000000001</v>
      </c>
      <c r="D11" s="41">
        <v>310.26299999999998</v>
      </c>
      <c r="E11" s="41">
        <v>539.25099999999998</v>
      </c>
      <c r="F11" s="41">
        <v>507.68200000000002</v>
      </c>
      <c r="G11" s="41">
        <v>569.19000000000005</v>
      </c>
      <c r="H11" s="41">
        <v>2051.5300000000002</v>
      </c>
      <c r="I11" s="41">
        <v>572.82399999999996</v>
      </c>
      <c r="J11" s="41">
        <v>685.40899999999999</v>
      </c>
      <c r="K11" s="41">
        <v>596.35299999999995</v>
      </c>
      <c r="L11" s="41">
        <v>871.37400000000002</v>
      </c>
      <c r="M11" s="41">
        <v>2784.73</v>
      </c>
      <c r="N11" s="41">
        <v>4386.7299999999996</v>
      </c>
    </row>
    <row r="12" spans="1:14" ht="15" customHeight="1" outlineLevel="1" x14ac:dyDescent="0.25">
      <c r="A12" s="26" t="s">
        <v>153</v>
      </c>
      <c r="B12" s="46">
        <v>-2711.18</v>
      </c>
      <c r="C12" s="46">
        <v>-340.65499999999997</v>
      </c>
      <c r="D12" s="46">
        <v>-1390.29</v>
      </c>
      <c r="E12" s="46">
        <v>-617.005</v>
      </c>
      <c r="F12" s="40">
        <v>181.583</v>
      </c>
      <c r="G12" s="40">
        <v>7.9226700000000001</v>
      </c>
      <c r="H12" s="46">
        <v>-2233.59</v>
      </c>
      <c r="I12" s="40">
        <v>24.522300000000001</v>
      </c>
      <c r="J12" s="46">
        <v>-10.1365</v>
      </c>
      <c r="K12" s="46">
        <v>-10.5185</v>
      </c>
      <c r="L12" s="46">
        <v>-11.2925</v>
      </c>
      <c r="M12" s="46">
        <v>-45.779200000000003</v>
      </c>
      <c r="N12" s="46">
        <v>-55</v>
      </c>
    </row>
    <row r="13" spans="1:14" ht="15" customHeight="1" outlineLevel="1" x14ac:dyDescent="0.25">
      <c r="A13" s="20" t="s">
        <v>152</v>
      </c>
      <c r="B13" s="41">
        <v>218.82</v>
      </c>
      <c r="C13" s="41">
        <v>463.36399999999998</v>
      </c>
      <c r="D13" s="45">
        <v>-28.898499999999999</v>
      </c>
      <c r="E13" s="41">
        <v>6.4249999999999998</v>
      </c>
      <c r="F13" s="41">
        <v>6.4</v>
      </c>
      <c r="G13" s="45">
        <v>-2.5</v>
      </c>
      <c r="H13" s="45">
        <v>-21.570699999999999</v>
      </c>
      <c r="I13" s="41">
        <v>24.3</v>
      </c>
      <c r="J13" s="41">
        <v>5</v>
      </c>
      <c r="K13" s="41">
        <v>3.2</v>
      </c>
      <c r="L13" s="45">
        <v>-2.5</v>
      </c>
      <c r="M13" s="41">
        <v>15.025</v>
      </c>
      <c r="N13" s="41">
        <v>30.05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9C05B-FF8A-455B-9C22-A23A0825B64F}">
  <sheetPr codeName="Sheet5">
    <outlinePr summaryBelow="0" summaryRight="0"/>
  </sheetPr>
  <dimension ref="A1:K47"/>
  <sheetViews>
    <sheetView topLeftCell="A19" workbookViewId="0">
      <selection activeCell="B4" sqref="B4"/>
    </sheetView>
  </sheetViews>
  <sheetFormatPr defaultColWidth="9.109375" defaultRowHeight="15" customHeight="1" outlineLevelRow="3" x14ac:dyDescent="0.25"/>
  <cols>
    <col min="1" max="1" width="54.5546875" style="8" customWidth="1"/>
    <col min="2" max="11" width="8.44140625" style="8" customWidth="1"/>
    <col min="12" max="16384" width="9.109375" style="8"/>
  </cols>
  <sheetData>
    <row r="1" spans="1:11" ht="15" customHeight="1" x14ac:dyDescent="0.25">
      <c r="A1" s="38" t="s">
        <v>76</v>
      </c>
    </row>
    <row r="2" spans="1:11" ht="15" customHeight="1" x14ac:dyDescent="0.25">
      <c r="A2" s="37" t="s">
        <v>75</v>
      </c>
    </row>
    <row r="3" spans="1:11" ht="15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</row>
    <row r="5" spans="1:11" ht="15" customHeight="1" x14ac:dyDescent="0.25">
      <c r="A5" s="35" t="s">
        <v>74</v>
      </c>
      <c r="B5" s="35"/>
      <c r="C5" s="35"/>
      <c r="D5" s="35"/>
      <c r="E5" s="35"/>
      <c r="F5" s="35"/>
      <c r="G5" s="35"/>
      <c r="H5" s="35"/>
      <c r="I5" s="35"/>
      <c r="J5" s="35"/>
      <c r="K5" s="35"/>
    </row>
    <row r="6" spans="1:11" ht="15" customHeight="1" x14ac:dyDescent="0.25">
      <c r="A6" s="35" t="s">
        <v>73</v>
      </c>
      <c r="B6" s="35"/>
      <c r="C6" s="35"/>
      <c r="D6" s="35"/>
      <c r="E6" s="35"/>
      <c r="F6" s="35"/>
      <c r="G6" s="35"/>
      <c r="H6" s="35"/>
      <c r="I6" s="35"/>
      <c r="J6" s="35"/>
      <c r="K6" s="35"/>
    </row>
    <row r="7" spans="1:11" ht="15" customHeight="1" x14ac:dyDescent="0.25">
      <c r="A7" s="35" t="s">
        <v>72</v>
      </c>
      <c r="B7" s="35"/>
      <c r="C7" s="35"/>
      <c r="D7" s="35"/>
      <c r="E7" s="35"/>
      <c r="F7" s="35"/>
      <c r="G7" s="35"/>
      <c r="H7" s="35"/>
      <c r="I7" s="35"/>
      <c r="J7" s="35"/>
      <c r="K7" s="35"/>
    </row>
    <row r="8" spans="1:11" ht="15" customHeight="1" x14ac:dyDescent="0.25">
      <c r="A8" s="35"/>
      <c r="B8" s="35" t="s">
        <v>71</v>
      </c>
      <c r="C8" s="35" t="s">
        <v>83</v>
      </c>
      <c r="D8" s="35" t="s">
        <v>82</v>
      </c>
      <c r="E8" s="35" t="s">
        <v>70</v>
      </c>
      <c r="F8" s="35" t="s">
        <v>81</v>
      </c>
      <c r="G8" s="35" t="s">
        <v>80</v>
      </c>
      <c r="H8" s="35" t="s">
        <v>79</v>
      </c>
      <c r="I8" s="35" t="s">
        <v>69</v>
      </c>
      <c r="J8" s="35" t="s">
        <v>78</v>
      </c>
      <c r="K8" s="35" t="s">
        <v>77</v>
      </c>
    </row>
    <row r="9" spans="1:11" ht="15" customHeight="1" x14ac:dyDescent="0.25">
      <c r="A9" s="27" t="s">
        <v>62</v>
      </c>
      <c r="B9" s="15">
        <v>1181.0920000000001</v>
      </c>
      <c r="C9" s="15">
        <v>1003.697</v>
      </c>
      <c r="D9" s="15">
        <v>883.85500000000002</v>
      </c>
      <c r="E9" s="15">
        <v>827.51900000000001</v>
      </c>
      <c r="F9" s="15">
        <v>725.51599999999996</v>
      </c>
      <c r="G9" s="15">
        <v>678.13400000000001</v>
      </c>
      <c r="H9" s="15">
        <v>634.33799999999997</v>
      </c>
      <c r="I9" s="15">
        <v>608.35</v>
      </c>
      <c r="J9" s="15">
        <v>558.15899999999999</v>
      </c>
      <c r="K9" s="15">
        <v>533.31700000000001</v>
      </c>
    </row>
    <row r="10" spans="1:11" ht="15" customHeight="1" outlineLevel="1" x14ac:dyDescent="0.25">
      <c r="A10" s="23" t="s">
        <v>61</v>
      </c>
      <c r="B10" s="28">
        <v>207.30699999999999</v>
      </c>
      <c r="C10" s="28">
        <v>192.934</v>
      </c>
      <c r="D10" s="28">
        <v>172.97</v>
      </c>
      <c r="E10" s="28">
        <v>174.53299999999999</v>
      </c>
      <c r="F10" s="28">
        <v>146.63900000000001</v>
      </c>
      <c r="G10" s="28">
        <v>128.56200000000001</v>
      </c>
      <c r="H10" s="28">
        <v>116.256</v>
      </c>
      <c r="I10" s="28">
        <v>108.639</v>
      </c>
      <c r="J10" s="28">
        <v>107.922</v>
      </c>
      <c r="K10" s="28">
        <v>106.899</v>
      </c>
    </row>
    <row r="11" spans="1:11" ht="15" customHeight="1" outlineLevel="2" x14ac:dyDescent="0.25">
      <c r="A11" s="11" t="s">
        <v>60</v>
      </c>
      <c r="B11" s="10">
        <v>201.33199999999999</v>
      </c>
      <c r="C11" s="10">
        <v>186.404</v>
      </c>
      <c r="D11" s="10">
        <v>166.34800000000001</v>
      </c>
      <c r="E11" s="10">
        <v>167.52699999999999</v>
      </c>
      <c r="F11" s="10">
        <v>138.55199999999999</v>
      </c>
      <c r="G11" s="10">
        <v>120.506</v>
      </c>
      <c r="H11" s="10">
        <v>107.818</v>
      </c>
      <c r="I11" s="10">
        <v>100.667</v>
      </c>
      <c r="J11" s="10">
        <v>99.259</v>
      </c>
      <c r="K11" s="10">
        <v>98.5</v>
      </c>
    </row>
    <row r="12" spans="1:11" ht="15" customHeight="1" outlineLevel="2" x14ac:dyDescent="0.25">
      <c r="A12" s="33" t="s">
        <v>20</v>
      </c>
      <c r="B12" s="28">
        <v>5.9749999999999996</v>
      </c>
      <c r="C12" s="28">
        <v>6.53</v>
      </c>
      <c r="D12" s="28">
        <v>6.6219999999999999</v>
      </c>
      <c r="E12" s="28">
        <v>7.0060000000000002</v>
      </c>
      <c r="F12" s="28">
        <v>8.0869999999999997</v>
      </c>
      <c r="G12" s="28">
        <v>8.0559999999999992</v>
      </c>
      <c r="H12" s="28">
        <v>8.4380000000000006</v>
      </c>
      <c r="I12" s="28">
        <v>7.9720000000000004</v>
      </c>
      <c r="J12" s="28">
        <v>8.6630000000000003</v>
      </c>
      <c r="K12" s="28">
        <v>8.3989999999999991</v>
      </c>
    </row>
    <row r="13" spans="1:11" ht="15" customHeight="1" outlineLevel="3" x14ac:dyDescent="0.25">
      <c r="A13" s="32" t="s">
        <v>59</v>
      </c>
      <c r="B13" s="10">
        <v>4.8</v>
      </c>
      <c r="C13" s="10">
        <v>5.4</v>
      </c>
      <c r="D13" s="10">
        <v>5.5</v>
      </c>
      <c r="E13" s="10">
        <v>5.5869999999999997</v>
      </c>
      <c r="F13" s="10">
        <v>6.1</v>
      </c>
      <c r="G13" s="10">
        <v>8.0559999999999992</v>
      </c>
      <c r="H13" s="10">
        <v>8.4380000000000006</v>
      </c>
      <c r="I13" s="10">
        <v>7.9720000000000004</v>
      </c>
      <c r="J13" s="10">
        <v>8.6630000000000003</v>
      </c>
      <c r="K13" s="10">
        <v>8.3989999999999991</v>
      </c>
    </row>
    <row r="14" spans="1:11" ht="15" customHeight="1" outlineLevel="3" x14ac:dyDescent="0.25">
      <c r="A14" s="31" t="s">
        <v>58</v>
      </c>
      <c r="B14" s="13">
        <v>1.175</v>
      </c>
      <c r="C14" s="13">
        <v>1.1299999999999999</v>
      </c>
      <c r="D14" s="13">
        <v>1.1220000000000001</v>
      </c>
      <c r="E14" s="13">
        <v>1.419</v>
      </c>
      <c r="F14" s="13">
        <v>1.9870000000000001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</row>
    <row r="15" spans="1:11" ht="15" customHeight="1" x14ac:dyDescent="0.25">
      <c r="A15" s="27" t="s">
        <v>57</v>
      </c>
      <c r="B15" s="15">
        <v>973.78499999999997</v>
      </c>
      <c r="C15" s="15">
        <v>810.76300000000003</v>
      </c>
      <c r="D15" s="15">
        <v>710.88499999999999</v>
      </c>
      <c r="E15" s="15">
        <v>652.98599999999999</v>
      </c>
      <c r="F15" s="15">
        <v>578.87699999999995</v>
      </c>
      <c r="G15" s="15">
        <v>549.572</v>
      </c>
      <c r="H15" s="15">
        <v>518.08199999999999</v>
      </c>
      <c r="I15" s="15">
        <v>499.71100000000001</v>
      </c>
      <c r="J15" s="15">
        <v>450.23700000000002</v>
      </c>
      <c r="K15" s="15">
        <v>426.41800000000001</v>
      </c>
    </row>
    <row r="16" spans="1:11" ht="15" customHeight="1" outlineLevel="1" x14ac:dyDescent="0.25">
      <c r="A16" s="23" t="s">
        <v>56</v>
      </c>
      <c r="B16" s="28">
        <v>580.529</v>
      </c>
      <c r="C16" s="28">
        <v>541.44600000000003</v>
      </c>
      <c r="D16" s="28">
        <v>534.83699999999999</v>
      </c>
      <c r="E16" s="28">
        <v>641.94299999999998</v>
      </c>
      <c r="F16" s="28">
        <v>465.73700000000002</v>
      </c>
      <c r="G16" s="28">
        <v>444.233</v>
      </c>
      <c r="H16" s="28">
        <v>437.20100000000002</v>
      </c>
      <c r="I16" s="28">
        <v>433.91699999999997</v>
      </c>
      <c r="J16" s="28">
        <v>410.25400000000002</v>
      </c>
      <c r="K16" s="28">
        <v>416.34399999999999</v>
      </c>
    </row>
    <row r="17" spans="1:11" ht="15" customHeight="1" outlineLevel="2" x14ac:dyDescent="0.25">
      <c r="A17" s="11" t="s">
        <v>55</v>
      </c>
      <c r="B17" s="10">
        <v>144.191</v>
      </c>
      <c r="C17" s="10">
        <v>135.04300000000001</v>
      </c>
      <c r="D17" s="10">
        <v>134.88900000000001</v>
      </c>
      <c r="E17" s="10">
        <v>171.50200000000001</v>
      </c>
      <c r="F17" s="10">
        <v>117.55500000000001</v>
      </c>
      <c r="G17" s="10">
        <v>108.78100000000001</v>
      </c>
      <c r="H17" s="10">
        <v>110.04</v>
      </c>
      <c r="I17" s="10">
        <v>109.283</v>
      </c>
      <c r="J17" s="10">
        <v>105.708</v>
      </c>
      <c r="K17" s="10">
        <v>99.533000000000001</v>
      </c>
    </row>
    <row r="18" spans="1:11" ht="15" customHeight="1" outlineLevel="2" x14ac:dyDescent="0.25">
      <c r="A18" s="14" t="s">
        <v>54</v>
      </c>
      <c r="B18" s="13">
        <v>436.33800000000002</v>
      </c>
      <c r="C18" s="13">
        <v>406.40300000000002</v>
      </c>
      <c r="D18" s="13">
        <v>399.94799999999998</v>
      </c>
      <c r="E18" s="13">
        <v>470.44099999999997</v>
      </c>
      <c r="F18" s="13">
        <v>348.18200000000002</v>
      </c>
      <c r="G18" s="13">
        <v>335.452</v>
      </c>
      <c r="H18" s="13">
        <v>327.161</v>
      </c>
      <c r="I18" s="13">
        <v>324.63400000000001</v>
      </c>
      <c r="J18" s="13">
        <v>304.54599999999999</v>
      </c>
      <c r="K18" s="13">
        <v>316.81099999999998</v>
      </c>
    </row>
    <row r="19" spans="1:11" ht="15" customHeight="1" x14ac:dyDescent="0.25">
      <c r="A19" s="27" t="s">
        <v>53</v>
      </c>
      <c r="B19" s="15">
        <v>393.25599999999997</v>
      </c>
      <c r="C19" s="15">
        <v>269.31700000000001</v>
      </c>
      <c r="D19" s="15">
        <v>176.048</v>
      </c>
      <c r="E19" s="15">
        <v>11.042999999999999</v>
      </c>
      <c r="F19" s="15">
        <v>113.14</v>
      </c>
      <c r="G19" s="15">
        <v>105.339</v>
      </c>
      <c r="H19" s="15">
        <v>80.881</v>
      </c>
      <c r="I19" s="15">
        <v>65.793999999999997</v>
      </c>
      <c r="J19" s="15">
        <v>39.982999999999997</v>
      </c>
      <c r="K19" s="15">
        <v>10.074</v>
      </c>
    </row>
    <row r="20" spans="1:11" ht="15" customHeight="1" outlineLevel="1" x14ac:dyDescent="0.25">
      <c r="A20" s="23" t="s">
        <v>52</v>
      </c>
      <c r="B20" s="28">
        <v>93.245000000000005</v>
      </c>
      <c r="C20" s="28">
        <v>50.250999999999998</v>
      </c>
      <c r="D20" s="28">
        <v>57.968000000000004</v>
      </c>
      <c r="E20" s="28">
        <v>57.295000000000002</v>
      </c>
      <c r="F20" s="28">
        <v>49.41</v>
      </c>
      <c r="G20" s="28">
        <v>42.02</v>
      </c>
      <c r="H20" s="28">
        <v>40.744999999999997</v>
      </c>
      <c r="I20" s="28">
        <v>39.488999999999997</v>
      </c>
      <c r="J20" s="28">
        <v>41.427999999999997</v>
      </c>
      <c r="K20" s="28">
        <v>21.885999999999999</v>
      </c>
    </row>
    <row r="21" spans="1:11" ht="15" customHeight="1" outlineLevel="2" x14ac:dyDescent="0.25">
      <c r="A21" s="11" t="s">
        <v>51</v>
      </c>
      <c r="B21" s="10">
        <v>59.762</v>
      </c>
      <c r="C21" s="10">
        <v>56.255000000000003</v>
      </c>
      <c r="D21" s="10">
        <v>50.441000000000003</v>
      </c>
      <c r="E21" s="10">
        <v>54.726999999999997</v>
      </c>
      <c r="F21" s="10">
        <v>52.12</v>
      </c>
      <c r="G21" s="10">
        <v>46.593000000000004</v>
      </c>
      <c r="H21" s="10">
        <v>43.351999999999997</v>
      </c>
      <c r="I21" s="10">
        <v>44.545000000000002</v>
      </c>
      <c r="J21" s="10">
        <v>36.863999999999997</v>
      </c>
      <c r="K21" s="10">
        <v>30.31</v>
      </c>
    </row>
    <row r="22" spans="1:11" ht="15" customHeight="1" outlineLevel="2" x14ac:dyDescent="0.25">
      <c r="A22" s="14" t="s">
        <v>50</v>
      </c>
      <c r="B22" s="13">
        <v>33.482999999999997</v>
      </c>
      <c r="C22" s="12">
        <v>-6.0039999999999996</v>
      </c>
      <c r="D22" s="13">
        <v>7.5270000000000001</v>
      </c>
      <c r="E22" s="13">
        <v>2.5680000000000001</v>
      </c>
      <c r="F22" s="12">
        <v>-2.71</v>
      </c>
      <c r="G22" s="12">
        <v>-4.5730000000000004</v>
      </c>
      <c r="H22" s="12">
        <v>-2.6070000000000002</v>
      </c>
      <c r="I22" s="12">
        <v>-5.056</v>
      </c>
      <c r="J22" s="13">
        <v>4.5640000000000001</v>
      </c>
      <c r="K22" s="12">
        <v>-8.4239999999999995</v>
      </c>
    </row>
    <row r="23" spans="1:11" ht="15" customHeight="1" outlineLevel="1" x14ac:dyDescent="0.25">
      <c r="A23" s="16" t="s">
        <v>49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0.13600000000000001</v>
      </c>
      <c r="J23" s="15">
        <v>0.74199999999999999</v>
      </c>
      <c r="K23" s="15">
        <v>1.3169999999999999</v>
      </c>
    </row>
    <row r="24" spans="1:11" ht="15" customHeight="1" outlineLevel="2" x14ac:dyDescent="0.25">
      <c r="A24" s="14" t="s">
        <v>48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0.13600000000000001</v>
      </c>
      <c r="J24" s="13">
        <v>0.74199999999999999</v>
      </c>
      <c r="K24" s="13">
        <v>1.3169999999999999</v>
      </c>
    </row>
    <row r="25" spans="1:11" ht="15" customHeight="1" outlineLevel="1" x14ac:dyDescent="0.25">
      <c r="A25" s="16" t="s">
        <v>47</v>
      </c>
      <c r="B25" s="15">
        <v>6</v>
      </c>
      <c r="C25" s="15">
        <v>-12.6</v>
      </c>
      <c r="D25" s="15">
        <v>10.7</v>
      </c>
      <c r="E25" s="15">
        <v>-12.2</v>
      </c>
      <c r="F25" s="15">
        <v>5.4</v>
      </c>
      <c r="G25" s="15">
        <v>6.6</v>
      </c>
      <c r="H25" s="15">
        <v>10.9</v>
      </c>
      <c r="I25" s="15">
        <v>-1.1000000000000001</v>
      </c>
      <c r="J25" s="15">
        <v>0.7</v>
      </c>
      <c r="K25" s="15">
        <v>0.6</v>
      </c>
    </row>
    <row r="26" spans="1:11" ht="15" customHeight="1" outlineLevel="2" x14ac:dyDescent="0.25">
      <c r="A26" s="33" t="s">
        <v>45</v>
      </c>
      <c r="B26" s="28">
        <v>-6</v>
      </c>
      <c r="C26" s="28">
        <v>12.6</v>
      </c>
      <c r="D26" s="28">
        <v>-10.7</v>
      </c>
      <c r="E26" s="28">
        <v>12.2</v>
      </c>
      <c r="F26" s="28">
        <v>-5.4</v>
      </c>
      <c r="G26" s="28">
        <v>-6.6</v>
      </c>
      <c r="H26" s="28">
        <v>-10.9</v>
      </c>
      <c r="I26" s="28">
        <v>1.1000000000000001</v>
      </c>
      <c r="J26" s="28">
        <v>-0.7</v>
      </c>
      <c r="K26" s="28">
        <v>-0.6</v>
      </c>
    </row>
    <row r="27" spans="1:11" ht="15" customHeight="1" outlineLevel="3" x14ac:dyDescent="0.25">
      <c r="A27" s="32" t="s">
        <v>44</v>
      </c>
      <c r="B27" s="29">
        <v>-6</v>
      </c>
      <c r="C27" s="10">
        <v>12.6</v>
      </c>
      <c r="D27" s="29">
        <v>-10.7</v>
      </c>
      <c r="E27" s="10">
        <v>12.2</v>
      </c>
      <c r="F27" s="29">
        <v>-5.4</v>
      </c>
      <c r="G27" s="29">
        <v>-6.6</v>
      </c>
      <c r="H27" s="29">
        <v>-10.9</v>
      </c>
      <c r="I27" s="10">
        <v>1.1000000000000001</v>
      </c>
      <c r="J27" s="29">
        <v>-0.7</v>
      </c>
      <c r="K27" s="29">
        <v>-0.6</v>
      </c>
    </row>
    <row r="28" spans="1:11" ht="15" customHeight="1" x14ac:dyDescent="0.25">
      <c r="A28" s="17" t="s">
        <v>42</v>
      </c>
      <c r="B28" s="28">
        <v>480.50099999999998</v>
      </c>
      <c r="C28" s="28">
        <v>332.16800000000001</v>
      </c>
      <c r="D28" s="28">
        <v>223.316</v>
      </c>
      <c r="E28" s="28">
        <v>80.537999999999997</v>
      </c>
      <c r="F28" s="28">
        <v>157.15</v>
      </c>
      <c r="G28" s="28">
        <v>140.75899999999999</v>
      </c>
      <c r="H28" s="28">
        <v>110.726</v>
      </c>
      <c r="I28" s="28">
        <v>106.247</v>
      </c>
      <c r="J28" s="28">
        <v>79.968999999999994</v>
      </c>
      <c r="K28" s="28">
        <v>30.042999999999999</v>
      </c>
    </row>
    <row r="29" spans="1:11" ht="15" customHeight="1" outlineLevel="1" x14ac:dyDescent="0.25">
      <c r="A29" s="20" t="s">
        <v>41</v>
      </c>
      <c r="B29" s="10">
        <v>3.7530000000000001</v>
      </c>
      <c r="C29" s="10">
        <v>3.5960000000000001</v>
      </c>
      <c r="D29" s="10">
        <v>5.5990000000000002</v>
      </c>
      <c r="E29" s="10">
        <v>3.6019999999999999</v>
      </c>
      <c r="F29" s="10">
        <v>7.8090000000000002</v>
      </c>
      <c r="G29" s="10">
        <v>5.1890000000000001</v>
      </c>
      <c r="H29" s="10">
        <v>4.6550000000000002</v>
      </c>
      <c r="I29" s="10">
        <v>9.3339999999999996</v>
      </c>
      <c r="J29" s="10">
        <v>6.53</v>
      </c>
      <c r="K29" s="10">
        <v>2.1709999999999998</v>
      </c>
    </row>
    <row r="30" spans="1:11" ht="15" customHeight="1" x14ac:dyDescent="0.25">
      <c r="A30" s="17" t="s">
        <v>35</v>
      </c>
      <c r="B30" s="28">
        <v>476.74799999999999</v>
      </c>
      <c r="C30" s="28">
        <v>328.572</v>
      </c>
      <c r="D30" s="28">
        <v>217.71700000000001</v>
      </c>
      <c r="E30" s="28">
        <v>76.936000000000007</v>
      </c>
      <c r="F30" s="28">
        <v>149.34100000000001</v>
      </c>
      <c r="G30" s="28">
        <v>135.57</v>
      </c>
      <c r="H30" s="28">
        <v>106.071</v>
      </c>
      <c r="I30" s="28">
        <v>96.912999999999997</v>
      </c>
      <c r="J30" s="28">
        <v>73.438999999999993</v>
      </c>
      <c r="K30" s="28">
        <v>27.872</v>
      </c>
    </row>
    <row r="31" spans="1:11" ht="15" customHeight="1" outlineLevel="1" x14ac:dyDescent="0.25">
      <c r="A31" s="20" t="s">
        <v>34</v>
      </c>
      <c r="B31" s="10">
        <v>1.149</v>
      </c>
      <c r="C31" s="10">
        <v>1.845</v>
      </c>
      <c r="D31" s="10">
        <v>3.6859999999999999</v>
      </c>
      <c r="E31" s="29">
        <v>-2.073</v>
      </c>
      <c r="F31" s="10">
        <v>5.8159999999999998</v>
      </c>
      <c r="G31" s="10">
        <v>1.444</v>
      </c>
      <c r="H31" s="10">
        <v>0.54100000000000004</v>
      </c>
      <c r="I31" s="10">
        <v>3.5219999999999998</v>
      </c>
      <c r="J31" s="10">
        <v>1.9339999999999999</v>
      </c>
      <c r="K31" s="29">
        <v>-0.255</v>
      </c>
    </row>
    <row r="32" spans="1:11" ht="15" customHeight="1" x14ac:dyDescent="0.25">
      <c r="A32" s="17" t="s">
        <v>33</v>
      </c>
      <c r="B32" s="28">
        <v>475.59899999999999</v>
      </c>
      <c r="C32" s="28">
        <v>326.72699999999998</v>
      </c>
      <c r="D32" s="28">
        <v>214.03100000000001</v>
      </c>
      <c r="E32" s="28">
        <v>79.009</v>
      </c>
      <c r="F32" s="28">
        <v>143.52500000000001</v>
      </c>
      <c r="G32" s="28">
        <v>134.126</v>
      </c>
      <c r="H32" s="28">
        <v>105.53</v>
      </c>
      <c r="I32" s="28">
        <v>93.391000000000005</v>
      </c>
      <c r="J32" s="28">
        <v>71.504999999999995</v>
      </c>
      <c r="K32" s="28">
        <v>28.126999999999999</v>
      </c>
    </row>
    <row r="33" spans="1:11" ht="15" customHeight="1" outlineLevel="1" x14ac:dyDescent="0.25">
      <c r="A33" s="20" t="s">
        <v>31</v>
      </c>
      <c r="B33" s="10">
        <v>475.59899999999999</v>
      </c>
      <c r="C33" s="10">
        <v>326.72699999999998</v>
      </c>
      <c r="D33" s="10">
        <v>214.03100000000001</v>
      </c>
      <c r="E33" s="10">
        <v>79.009</v>
      </c>
      <c r="F33" s="10">
        <v>143.52500000000001</v>
      </c>
      <c r="G33" s="10">
        <v>134.126</v>
      </c>
      <c r="H33" s="10">
        <v>105.53</v>
      </c>
      <c r="I33" s="10">
        <v>93.391000000000005</v>
      </c>
      <c r="J33" s="10">
        <v>71.504999999999995</v>
      </c>
      <c r="K33" s="10">
        <v>28.126999999999999</v>
      </c>
    </row>
    <row r="34" spans="1:11" ht="15" customHeight="1" x14ac:dyDescent="0.25">
      <c r="A34" s="17" t="s">
        <v>30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</row>
    <row r="35" spans="1:11" ht="15" customHeight="1" outlineLevel="1" x14ac:dyDescent="0.25">
      <c r="A35" s="20" t="s">
        <v>29</v>
      </c>
      <c r="B35" s="19">
        <v>0.186615</v>
      </c>
      <c r="C35" s="19">
        <v>0.124041</v>
      </c>
      <c r="D35" s="19">
        <v>8.6775000000000005E-2</v>
      </c>
      <c r="E35" s="19">
        <v>2.7872000000000001E-2</v>
      </c>
      <c r="F35" s="19">
        <v>5.9889999999999999E-2</v>
      </c>
      <c r="G35" s="19">
        <v>5.7459000000000003E-2</v>
      </c>
      <c r="H35" s="19">
        <v>4.7148000000000002E-2</v>
      </c>
      <c r="I35" s="19">
        <v>3.9283999999999999E-2</v>
      </c>
      <c r="J35" s="19">
        <v>3.0957999999999999E-2</v>
      </c>
      <c r="K35" s="19">
        <v>1.2531E-2</v>
      </c>
    </row>
    <row r="36" spans="1:11" ht="15" customHeight="1" outlineLevel="1" x14ac:dyDescent="0.25">
      <c r="A36" s="23" t="s">
        <v>28</v>
      </c>
      <c r="B36" s="22">
        <v>0.2001</v>
      </c>
      <c r="C36" s="22">
        <v>0.1381</v>
      </c>
      <c r="D36" s="22">
        <v>9.11E-2</v>
      </c>
      <c r="E36" s="22">
        <v>3.4299999999999997E-2</v>
      </c>
      <c r="F36" s="22">
        <v>6.3799999999999996E-2</v>
      </c>
      <c r="G36" s="22">
        <v>6.0100000000000001E-2</v>
      </c>
      <c r="H36" s="22">
        <v>4.7699999999999999E-2</v>
      </c>
      <c r="I36" s="22">
        <v>4.2700000000000002E-2</v>
      </c>
      <c r="J36" s="22">
        <v>3.3099999999999997E-2</v>
      </c>
      <c r="K36" s="22">
        <v>1.32E-2</v>
      </c>
    </row>
    <row r="37" spans="1:11" ht="15" customHeight="1" outlineLevel="2" x14ac:dyDescent="0.25">
      <c r="A37" s="11" t="s">
        <v>27</v>
      </c>
      <c r="B37" s="19">
        <v>2377.1669999999999</v>
      </c>
      <c r="C37" s="19">
        <v>2365.1959999999999</v>
      </c>
      <c r="D37" s="19">
        <v>2348.6790000000001</v>
      </c>
      <c r="E37" s="19">
        <v>2304.8829999999998</v>
      </c>
      <c r="F37" s="19">
        <v>2250.0320000000002</v>
      </c>
      <c r="G37" s="19">
        <v>2231.5920000000001</v>
      </c>
      <c r="H37" s="19">
        <v>2213.5450000000001</v>
      </c>
      <c r="I37" s="19">
        <v>2187.2139999999999</v>
      </c>
      <c r="J37" s="19">
        <v>2162.5300000000002</v>
      </c>
      <c r="K37" s="19">
        <v>2131.2240000000002</v>
      </c>
    </row>
    <row r="38" spans="1:11" ht="15" customHeight="1" outlineLevel="2" x14ac:dyDescent="0.25">
      <c r="A38" s="14" t="s">
        <v>24</v>
      </c>
      <c r="B38" s="21">
        <v>2383.3139999999999</v>
      </c>
      <c r="C38" s="21">
        <v>2371.8470000000002</v>
      </c>
      <c r="D38" s="21">
        <v>2359.663</v>
      </c>
      <c r="E38" s="21">
        <v>2338.7950000000001</v>
      </c>
      <c r="F38" s="21">
        <v>2269.8090000000002</v>
      </c>
      <c r="G38" s="21">
        <v>2237.9389999999999</v>
      </c>
      <c r="H38" s="21">
        <v>2226.9630000000002</v>
      </c>
      <c r="I38" s="21">
        <v>2200.1280000000002</v>
      </c>
      <c r="J38" s="21">
        <v>2175.241</v>
      </c>
      <c r="K38" s="21">
        <v>2149.98</v>
      </c>
    </row>
    <row r="39" spans="1:11" ht="15" customHeight="1" outlineLevel="1" x14ac:dyDescent="0.25">
      <c r="A39" s="16" t="s">
        <v>26</v>
      </c>
      <c r="B39" s="24">
        <v>0.185</v>
      </c>
      <c r="C39" s="24">
        <v>0.1275</v>
      </c>
      <c r="D39" s="24">
        <v>8.3799999999999999E-2</v>
      </c>
      <c r="E39" s="24">
        <v>3.1199999999999999E-2</v>
      </c>
      <c r="F39" s="24">
        <v>5.8400000000000001E-2</v>
      </c>
      <c r="G39" s="24">
        <v>5.5599999999999997E-2</v>
      </c>
      <c r="H39" s="24">
        <v>4.3999999999999997E-2</v>
      </c>
      <c r="I39" s="24">
        <v>3.9600000000000003E-2</v>
      </c>
      <c r="J39" s="24">
        <v>3.0800000000000001E-2</v>
      </c>
      <c r="K39" s="24">
        <v>1.24E-2</v>
      </c>
    </row>
    <row r="40" spans="1:11" ht="15" customHeight="1" outlineLevel="2" x14ac:dyDescent="0.25">
      <c r="A40" s="14" t="s">
        <v>25</v>
      </c>
      <c r="B40" s="21">
        <v>2571.0569999999998</v>
      </c>
      <c r="C40" s="21">
        <v>2562.9119999999998</v>
      </c>
      <c r="D40" s="21">
        <v>2552.8180000000002</v>
      </c>
      <c r="E40" s="21">
        <v>2528.279</v>
      </c>
      <c r="F40" s="21">
        <v>2459.5889999999999</v>
      </c>
      <c r="G40" s="21">
        <v>2414.6959999999999</v>
      </c>
      <c r="H40" s="21">
        <v>2400.107</v>
      </c>
      <c r="I40" s="21">
        <v>2357.7420000000002</v>
      </c>
      <c r="J40" s="21">
        <v>2325.6</v>
      </c>
      <c r="K40" s="21">
        <v>2278.1550000000002</v>
      </c>
    </row>
    <row r="41" spans="1:11" ht="15" customHeight="1" outlineLevel="2" x14ac:dyDescent="0.25">
      <c r="A41" s="11" t="s">
        <v>24</v>
      </c>
      <c r="B41" s="19">
        <v>2383.3139999999999</v>
      </c>
      <c r="C41" s="19">
        <v>2371.8470000000002</v>
      </c>
      <c r="D41" s="19">
        <v>2359.663</v>
      </c>
      <c r="E41" s="19">
        <v>2338.7950000000001</v>
      </c>
      <c r="F41" s="19">
        <v>2269.8090000000002</v>
      </c>
      <c r="G41" s="19">
        <v>2237.9389999999999</v>
      </c>
      <c r="H41" s="19">
        <v>2226.9630000000002</v>
      </c>
      <c r="I41" s="19">
        <v>2200.1280000000002</v>
      </c>
      <c r="J41" s="19">
        <v>2175.241</v>
      </c>
      <c r="K41" s="19">
        <v>2149.98</v>
      </c>
    </row>
    <row r="42" spans="1:11" ht="15" customHeight="1" outlineLevel="1" x14ac:dyDescent="0.25">
      <c r="A42" s="26" t="s">
        <v>23</v>
      </c>
      <c r="B42" s="21">
        <v>53.515999999999998</v>
      </c>
      <c r="C42" s="21">
        <v>42.536999999999999</v>
      </c>
      <c r="D42" s="21">
        <v>48.515000000000001</v>
      </c>
      <c r="E42" s="21">
        <v>34.01</v>
      </c>
      <c r="F42" s="21">
        <v>26.542000000000002</v>
      </c>
      <c r="G42" s="21">
        <v>23.321999999999999</v>
      </c>
      <c r="H42" s="21">
        <v>2.085</v>
      </c>
      <c r="I42" s="21">
        <v>0</v>
      </c>
      <c r="J42" s="21">
        <v>0</v>
      </c>
      <c r="K42" s="21">
        <v>0</v>
      </c>
    </row>
    <row r="43" spans="1:11" ht="15" customHeight="1" x14ac:dyDescent="0.25">
      <c r="A43" s="27" t="s">
        <v>22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</row>
    <row r="44" spans="1:11" ht="15" customHeight="1" outlineLevel="1" x14ac:dyDescent="0.25">
      <c r="A44" s="23" t="s">
        <v>22</v>
      </c>
      <c r="B44" s="22">
        <v>399.23099999999999</v>
      </c>
      <c r="C44" s="22">
        <v>275.84699999999998</v>
      </c>
      <c r="D44" s="22">
        <v>182.67</v>
      </c>
      <c r="E44" s="22">
        <v>18.048999999999999</v>
      </c>
      <c r="F44" s="22">
        <v>121.227</v>
      </c>
      <c r="G44" s="22">
        <v>113.395</v>
      </c>
      <c r="H44" s="22">
        <v>89.319000000000003</v>
      </c>
      <c r="I44" s="22">
        <v>73.766000000000005</v>
      </c>
      <c r="J44" s="22">
        <v>48.646000000000001</v>
      </c>
      <c r="K44" s="22">
        <v>18.472999999999999</v>
      </c>
    </row>
    <row r="45" spans="1:11" ht="15" customHeight="1" outlineLevel="2" x14ac:dyDescent="0.25">
      <c r="A45" s="11" t="s">
        <v>21</v>
      </c>
      <c r="B45" s="19">
        <v>393.25599999999997</v>
      </c>
      <c r="C45" s="19">
        <v>269.31700000000001</v>
      </c>
      <c r="D45" s="19">
        <v>176.048</v>
      </c>
      <c r="E45" s="19">
        <v>11.042999999999999</v>
      </c>
      <c r="F45" s="19">
        <v>113.14</v>
      </c>
      <c r="G45" s="19">
        <v>105.339</v>
      </c>
      <c r="H45" s="19">
        <v>80.881</v>
      </c>
      <c r="I45" s="19">
        <v>65.793999999999997</v>
      </c>
      <c r="J45" s="19">
        <v>39.982999999999997</v>
      </c>
      <c r="K45" s="19">
        <v>10.074</v>
      </c>
    </row>
    <row r="46" spans="1:11" ht="15" customHeight="1" outlineLevel="2" x14ac:dyDescent="0.25">
      <c r="A46" s="14" t="s">
        <v>20</v>
      </c>
      <c r="B46" s="21">
        <v>5.9749999999999996</v>
      </c>
      <c r="C46" s="21">
        <v>6.53</v>
      </c>
      <c r="D46" s="21">
        <v>6.6219999999999999</v>
      </c>
      <c r="E46" s="21">
        <v>7.0060000000000002</v>
      </c>
      <c r="F46" s="21">
        <v>8.0869999999999997</v>
      </c>
      <c r="G46" s="21">
        <v>8.0559999999999992</v>
      </c>
      <c r="H46" s="21">
        <v>8.4380000000000006</v>
      </c>
      <c r="I46" s="21">
        <v>7.9720000000000004</v>
      </c>
      <c r="J46" s="21">
        <v>8.6630000000000003</v>
      </c>
      <c r="K46" s="21">
        <v>8.3989999999999991</v>
      </c>
    </row>
    <row r="47" spans="1:11" ht="15" customHeight="1" x14ac:dyDescent="0.25">
      <c r="A47" s="9" t="s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B9714-6C10-4122-841D-B5659B14FB30}">
  <sheetPr codeName="Sheet8">
    <outlinePr summaryBelow="0" summaryRight="0"/>
  </sheetPr>
  <dimension ref="A1:K48"/>
  <sheetViews>
    <sheetView topLeftCell="A25" workbookViewId="0"/>
  </sheetViews>
  <sheetFormatPr defaultColWidth="9.109375" defaultRowHeight="15" customHeight="1" outlineLevelRow="3" x14ac:dyDescent="0.25"/>
  <cols>
    <col min="1" max="1" width="54.5546875" style="8" customWidth="1"/>
    <col min="2" max="2" width="8" style="8" customWidth="1"/>
    <col min="3" max="3" width="7.88671875" style="8" customWidth="1"/>
    <col min="4" max="4" width="8.44140625" style="8" customWidth="1"/>
    <col min="5" max="6" width="8" style="8" customWidth="1"/>
    <col min="7" max="7" width="7.88671875" style="8" customWidth="1"/>
    <col min="8" max="8" width="8.44140625" style="8" customWidth="1"/>
    <col min="9" max="10" width="8" style="8" customWidth="1"/>
    <col min="11" max="11" width="7.88671875" style="8" customWidth="1"/>
    <col min="12" max="16384" width="9.109375" style="8"/>
  </cols>
  <sheetData>
    <row r="1" spans="1:11" ht="15" customHeight="1" x14ac:dyDescent="0.25">
      <c r="A1" s="38" t="s">
        <v>76</v>
      </c>
    </row>
    <row r="2" spans="1:11" ht="15" customHeight="1" x14ac:dyDescent="0.25">
      <c r="A2" s="37" t="s">
        <v>75</v>
      </c>
    </row>
    <row r="3" spans="1:11" ht="15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</row>
    <row r="5" spans="1:11" ht="15" customHeight="1" x14ac:dyDescent="0.25">
      <c r="A5" s="35" t="s">
        <v>74</v>
      </c>
      <c r="B5" s="35"/>
      <c r="C5" s="35"/>
      <c r="D5" s="35"/>
      <c r="E5" s="35"/>
      <c r="F5" s="35"/>
      <c r="G5" s="35"/>
      <c r="H5" s="35"/>
      <c r="I5" s="35"/>
      <c r="J5" s="35"/>
      <c r="K5" s="35"/>
    </row>
    <row r="6" spans="1:11" ht="15" customHeight="1" x14ac:dyDescent="0.25">
      <c r="A6" s="35" t="s">
        <v>73</v>
      </c>
      <c r="B6" s="35"/>
      <c r="C6" s="35"/>
      <c r="D6" s="35"/>
      <c r="E6" s="35"/>
      <c r="F6" s="35"/>
      <c r="G6" s="35"/>
      <c r="H6" s="35"/>
      <c r="I6" s="35"/>
      <c r="J6" s="35"/>
      <c r="K6" s="35"/>
    </row>
    <row r="7" spans="1:11" ht="15" customHeight="1" x14ac:dyDescent="0.25">
      <c r="A7" s="35" t="s">
        <v>72</v>
      </c>
      <c r="B7" s="35"/>
      <c r="C7" s="35"/>
      <c r="D7" s="35"/>
      <c r="E7" s="35"/>
      <c r="F7" s="35"/>
      <c r="G7" s="35"/>
      <c r="H7" s="35"/>
      <c r="I7" s="35"/>
      <c r="J7" s="35"/>
      <c r="K7" s="35"/>
    </row>
    <row r="8" spans="1:11" ht="15" customHeight="1" x14ac:dyDescent="0.25">
      <c r="A8" s="35"/>
      <c r="B8" s="35" t="s">
        <v>71</v>
      </c>
      <c r="C8" s="35" t="s">
        <v>83</v>
      </c>
      <c r="D8" s="35" t="s">
        <v>82</v>
      </c>
      <c r="E8" s="35" t="s">
        <v>70</v>
      </c>
      <c r="F8" s="35" t="s">
        <v>81</v>
      </c>
      <c r="G8" s="35" t="s">
        <v>80</v>
      </c>
      <c r="H8" s="35" t="s">
        <v>79</v>
      </c>
      <c r="I8" s="35" t="s">
        <v>69</v>
      </c>
      <c r="J8" s="35" t="s">
        <v>78</v>
      </c>
      <c r="K8" s="35" t="s">
        <v>77</v>
      </c>
    </row>
    <row r="9" spans="1:11" ht="15" customHeight="1" x14ac:dyDescent="0.25">
      <c r="A9" s="27" t="s">
        <v>126</v>
      </c>
      <c r="B9" s="27"/>
      <c r="C9" s="27"/>
      <c r="D9" s="27"/>
      <c r="E9" s="27"/>
      <c r="F9" s="27"/>
      <c r="G9" s="27"/>
      <c r="H9" s="27"/>
      <c r="I9" s="27"/>
      <c r="J9" s="27"/>
      <c r="K9" s="27"/>
    </row>
    <row r="10" spans="1:11" ht="15" customHeight="1" outlineLevel="1" x14ac:dyDescent="0.25">
      <c r="A10" s="26" t="s">
        <v>125</v>
      </c>
      <c r="B10" s="21">
        <v>476.74799999999999</v>
      </c>
      <c r="C10" s="21">
        <v>328.572</v>
      </c>
      <c r="D10" s="21">
        <v>217.71700000000001</v>
      </c>
      <c r="E10" s="21">
        <v>76.936000000000007</v>
      </c>
      <c r="F10" s="21">
        <v>149.34100000000001</v>
      </c>
      <c r="G10" s="21">
        <v>135.57</v>
      </c>
      <c r="H10" s="21">
        <v>106.071</v>
      </c>
      <c r="I10" s="21">
        <v>96.912999999999997</v>
      </c>
      <c r="J10" s="21">
        <v>73.438999999999993</v>
      </c>
      <c r="K10" s="21">
        <v>27.872</v>
      </c>
    </row>
    <row r="11" spans="1:11" ht="15" customHeight="1" outlineLevel="1" x14ac:dyDescent="0.25">
      <c r="A11" s="16" t="s">
        <v>124</v>
      </c>
      <c r="B11" s="24">
        <v>5.9749999999999996</v>
      </c>
      <c r="C11" s="24">
        <v>6.53</v>
      </c>
      <c r="D11" s="24">
        <v>6.6219999999999999</v>
      </c>
      <c r="E11" s="24">
        <v>7.0060000000000002</v>
      </c>
      <c r="F11" s="24">
        <v>8.0869999999999997</v>
      </c>
      <c r="G11" s="24">
        <v>8.0559999999999992</v>
      </c>
      <c r="H11" s="24">
        <v>8.4380000000000006</v>
      </c>
      <c r="I11" s="24">
        <v>7.9720000000000004</v>
      </c>
      <c r="J11" s="24">
        <v>8.6630000000000003</v>
      </c>
      <c r="K11" s="24">
        <v>8.3989999999999991</v>
      </c>
    </row>
    <row r="12" spans="1:11" ht="15" customHeight="1" outlineLevel="2" x14ac:dyDescent="0.25">
      <c r="A12" s="14" t="s">
        <v>123</v>
      </c>
      <c r="B12" s="21">
        <v>4.8</v>
      </c>
      <c r="C12" s="21">
        <v>5.4</v>
      </c>
      <c r="D12" s="21">
        <v>5.5</v>
      </c>
      <c r="E12" s="21">
        <v>5.5869999999999997</v>
      </c>
      <c r="F12" s="21">
        <v>1.706</v>
      </c>
      <c r="G12" s="21">
        <v>8.0559999999999992</v>
      </c>
      <c r="H12" s="21">
        <v>8.4380000000000006</v>
      </c>
      <c r="I12" s="21">
        <v>7.9720000000000004</v>
      </c>
      <c r="J12" s="21">
        <v>8.6630000000000003</v>
      </c>
      <c r="K12" s="21">
        <v>8.3989999999999991</v>
      </c>
    </row>
    <row r="13" spans="1:11" ht="15" customHeight="1" outlineLevel="2" x14ac:dyDescent="0.25">
      <c r="A13" s="11" t="s">
        <v>122</v>
      </c>
      <c r="B13" s="19">
        <v>1.175</v>
      </c>
      <c r="C13" s="19">
        <v>1.1299999999999999</v>
      </c>
      <c r="D13" s="19">
        <v>1.1220000000000001</v>
      </c>
      <c r="E13" s="19">
        <v>1.419</v>
      </c>
      <c r="F13" s="18"/>
      <c r="G13" s="18"/>
      <c r="H13" s="18"/>
      <c r="I13" s="18"/>
      <c r="J13" s="18"/>
      <c r="K13" s="18"/>
    </row>
    <row r="14" spans="1:11" ht="15" customHeight="1" outlineLevel="1" x14ac:dyDescent="0.25">
      <c r="A14" s="23" t="s">
        <v>121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-4.806</v>
      </c>
      <c r="J14" s="22">
        <v>0</v>
      </c>
      <c r="K14" s="22">
        <v>0</v>
      </c>
    </row>
    <row r="15" spans="1:11" ht="15" customHeight="1" outlineLevel="2" x14ac:dyDescent="0.25">
      <c r="A15" s="11" t="s">
        <v>120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39">
        <v>-4.806</v>
      </c>
      <c r="J15" s="19">
        <v>0</v>
      </c>
      <c r="K15" s="19">
        <v>0</v>
      </c>
    </row>
    <row r="16" spans="1:11" ht="15" customHeight="1" outlineLevel="1" x14ac:dyDescent="0.25">
      <c r="A16" s="26" t="s">
        <v>93</v>
      </c>
      <c r="B16" s="21">
        <v>159.46299999999999</v>
      </c>
      <c r="C16" s="21">
        <v>164.70500000000001</v>
      </c>
      <c r="D16" s="21">
        <v>152.245</v>
      </c>
      <c r="E16" s="21">
        <v>272.22899999999998</v>
      </c>
      <c r="F16" s="21">
        <v>179.904</v>
      </c>
      <c r="G16" s="21">
        <v>140.63399999999999</v>
      </c>
      <c r="H16" s="21">
        <v>131.69</v>
      </c>
      <c r="I16" s="21">
        <v>118.289</v>
      </c>
      <c r="J16" s="21">
        <v>117.001</v>
      </c>
      <c r="K16" s="21">
        <v>112.854</v>
      </c>
    </row>
    <row r="17" spans="1:11" ht="15" customHeight="1" outlineLevel="1" x14ac:dyDescent="0.25">
      <c r="A17" s="20" t="s">
        <v>119</v>
      </c>
      <c r="B17" s="19">
        <v>642.18600000000004</v>
      </c>
      <c r="C17" s="19">
        <v>499.80700000000002</v>
      </c>
      <c r="D17" s="19">
        <v>376.584</v>
      </c>
      <c r="E17" s="19">
        <v>356.17099999999999</v>
      </c>
      <c r="F17" s="19">
        <v>337.33199999999999</v>
      </c>
      <c r="G17" s="19">
        <v>284.26</v>
      </c>
      <c r="H17" s="19">
        <v>246.19900000000001</v>
      </c>
      <c r="I17" s="19">
        <v>218.36799999999999</v>
      </c>
      <c r="J17" s="19">
        <v>199.10300000000001</v>
      </c>
      <c r="K17" s="19">
        <v>138.28899999999999</v>
      </c>
    </row>
    <row r="18" spans="1:11" ht="15" customHeight="1" outlineLevel="1" x14ac:dyDescent="0.25">
      <c r="A18" s="23" t="s">
        <v>118</v>
      </c>
      <c r="B18" s="22">
        <v>-134.52199999999999</v>
      </c>
      <c r="C18" s="22">
        <v>39.444000000000003</v>
      </c>
      <c r="D18" s="22">
        <v>-66.320999999999998</v>
      </c>
      <c r="E18" s="22">
        <v>104.15600000000001</v>
      </c>
      <c r="F18" s="22">
        <v>82.44</v>
      </c>
      <c r="G18" s="22">
        <v>-140.07300000000001</v>
      </c>
      <c r="H18" s="22">
        <v>-116.62</v>
      </c>
      <c r="I18" s="22">
        <v>82.804000000000002</v>
      </c>
      <c r="J18" s="22">
        <v>-65.66</v>
      </c>
      <c r="K18" s="22">
        <v>-48.097000000000001</v>
      </c>
    </row>
    <row r="19" spans="1:11" ht="15" customHeight="1" outlineLevel="2" x14ac:dyDescent="0.25">
      <c r="A19" s="11" t="s">
        <v>117</v>
      </c>
      <c r="B19" s="39">
        <v>-259.476</v>
      </c>
      <c r="C19" s="39">
        <v>-28.542000000000002</v>
      </c>
      <c r="D19" s="39">
        <v>-134.959</v>
      </c>
      <c r="E19" s="19">
        <v>100.542</v>
      </c>
      <c r="F19" s="39">
        <v>-13.388</v>
      </c>
      <c r="G19" s="39">
        <v>-176.42699999999999</v>
      </c>
      <c r="H19" s="39">
        <v>-121.884</v>
      </c>
      <c r="I19" s="19">
        <v>53.593000000000004</v>
      </c>
      <c r="J19" s="39">
        <v>-46.088999999999999</v>
      </c>
      <c r="K19" s="39">
        <v>-113.035</v>
      </c>
    </row>
    <row r="20" spans="1:11" ht="15" customHeight="1" outlineLevel="2" x14ac:dyDescent="0.25">
      <c r="A20" s="14" t="s">
        <v>116</v>
      </c>
      <c r="B20" s="21">
        <v>42.38</v>
      </c>
      <c r="C20" s="21">
        <v>25.806999999999999</v>
      </c>
      <c r="D20" s="21">
        <v>22.395</v>
      </c>
      <c r="E20" s="25">
        <v>-26.550999999999998</v>
      </c>
      <c r="F20" s="25">
        <v>-45.661999999999999</v>
      </c>
      <c r="G20" s="21">
        <v>29.562999999999999</v>
      </c>
      <c r="H20" s="21">
        <v>23.809000000000001</v>
      </c>
      <c r="I20" s="21">
        <v>0.55500000000000005</v>
      </c>
      <c r="J20" s="21">
        <v>6.67</v>
      </c>
      <c r="K20" s="21">
        <v>0.86399999999999999</v>
      </c>
    </row>
    <row r="21" spans="1:11" ht="15" customHeight="1" outlineLevel="2" x14ac:dyDescent="0.25">
      <c r="A21" s="11" t="s">
        <v>115</v>
      </c>
      <c r="B21" s="18"/>
      <c r="C21" s="18"/>
      <c r="D21" s="18"/>
      <c r="E21" s="19">
        <v>73.484999999999999</v>
      </c>
      <c r="F21" s="19">
        <v>72.697000000000003</v>
      </c>
      <c r="G21" s="39">
        <v>-11.443</v>
      </c>
      <c r="H21" s="39">
        <v>-19.105</v>
      </c>
      <c r="I21" s="19">
        <v>50.343000000000004</v>
      </c>
      <c r="J21" s="39">
        <v>-11.228</v>
      </c>
      <c r="K21" s="19">
        <v>9.5090000000000003</v>
      </c>
    </row>
    <row r="22" spans="1:11" ht="15" customHeight="1" outlineLevel="2" x14ac:dyDescent="0.25">
      <c r="A22" s="14" t="s">
        <v>114</v>
      </c>
      <c r="B22" s="21">
        <v>82.573999999999998</v>
      </c>
      <c r="C22" s="21">
        <v>42.179000000000002</v>
      </c>
      <c r="D22" s="21">
        <v>46.243000000000002</v>
      </c>
      <c r="E22" s="25">
        <v>-43.32</v>
      </c>
      <c r="F22" s="21">
        <v>68.793000000000006</v>
      </c>
      <c r="G22" s="21">
        <v>18.234000000000002</v>
      </c>
      <c r="H22" s="21">
        <v>0.56000000000000005</v>
      </c>
      <c r="I22" s="25">
        <v>-21.687000000000001</v>
      </c>
      <c r="J22" s="25">
        <v>-15.013</v>
      </c>
      <c r="K22" s="21">
        <v>54.564999999999998</v>
      </c>
    </row>
    <row r="23" spans="1:11" ht="15" customHeight="1" outlineLevel="1" x14ac:dyDescent="0.25">
      <c r="A23" s="20" t="s">
        <v>113</v>
      </c>
      <c r="B23" s="19">
        <v>507.66399999999999</v>
      </c>
      <c r="C23" s="19">
        <v>539.25099999999998</v>
      </c>
      <c r="D23" s="19">
        <v>310.26299999999998</v>
      </c>
      <c r="E23" s="19">
        <v>460.327</v>
      </c>
      <c r="F23" s="19">
        <v>419.77199999999999</v>
      </c>
      <c r="G23" s="19">
        <v>144.18700000000001</v>
      </c>
      <c r="H23" s="19">
        <v>129.57900000000001</v>
      </c>
      <c r="I23" s="19">
        <v>301.17200000000003</v>
      </c>
      <c r="J23" s="19">
        <v>133.44300000000001</v>
      </c>
      <c r="K23" s="19">
        <v>90.191999999999993</v>
      </c>
    </row>
    <row r="24" spans="1:11" ht="15" customHeight="1" x14ac:dyDescent="0.25">
      <c r="A24" s="17" t="s">
        <v>112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1" ht="15" customHeight="1" outlineLevel="1" x14ac:dyDescent="0.25">
      <c r="A25" s="16" t="s">
        <v>111</v>
      </c>
      <c r="B25" s="15">
        <v>-6.7919999999999998</v>
      </c>
      <c r="C25" s="15">
        <v>-7.6340000000000003</v>
      </c>
      <c r="D25" s="15">
        <v>-6.1840000000000002</v>
      </c>
      <c r="E25" s="15">
        <v>-3.1059999999999999</v>
      </c>
      <c r="F25" s="15">
        <v>-3.9849999999999999</v>
      </c>
      <c r="G25" s="15">
        <v>-2.879</v>
      </c>
      <c r="H25" s="15">
        <v>-2.6640000000000001</v>
      </c>
      <c r="I25" s="15">
        <v>-4.8600000000000003</v>
      </c>
      <c r="J25" s="15">
        <v>-1.5649999999999999</v>
      </c>
      <c r="K25" s="15">
        <v>-3.9340000000000002</v>
      </c>
    </row>
    <row r="26" spans="1:11" ht="15" customHeight="1" outlineLevel="2" x14ac:dyDescent="0.25">
      <c r="A26" s="14" t="s">
        <v>110</v>
      </c>
      <c r="B26" s="12">
        <v>-6.7919999999999998</v>
      </c>
      <c r="C26" s="12">
        <v>-7.6340000000000003</v>
      </c>
      <c r="D26" s="12">
        <v>-6.1840000000000002</v>
      </c>
      <c r="E26" s="12">
        <v>-3.1059999999999999</v>
      </c>
      <c r="F26" s="12">
        <v>-3.9849999999999999</v>
      </c>
      <c r="G26" s="12">
        <v>-2.879</v>
      </c>
      <c r="H26" s="12">
        <v>-2.6640000000000001</v>
      </c>
      <c r="I26" s="12">
        <v>-4.8600000000000003</v>
      </c>
      <c r="J26" s="12">
        <v>-1.5649999999999999</v>
      </c>
      <c r="K26" s="12">
        <v>-3.9340000000000002</v>
      </c>
    </row>
    <row r="27" spans="1:11" ht="15" customHeight="1" outlineLevel="1" x14ac:dyDescent="0.25">
      <c r="A27" s="16" t="s">
        <v>107</v>
      </c>
      <c r="B27" s="15">
        <v>192.28299999999999</v>
      </c>
      <c r="C27" s="15">
        <v>-569.37599999999998</v>
      </c>
      <c r="D27" s="15">
        <v>-1354.0930000000001</v>
      </c>
      <c r="E27" s="15">
        <v>644.91499999999996</v>
      </c>
      <c r="F27" s="15">
        <v>-316.74099999999999</v>
      </c>
      <c r="G27" s="15">
        <v>-141.999</v>
      </c>
      <c r="H27" s="15">
        <v>-508.58100000000002</v>
      </c>
      <c r="I27" s="15">
        <v>-564.36599999999999</v>
      </c>
      <c r="J27" s="15">
        <v>-194.69900000000001</v>
      </c>
      <c r="K27" s="15">
        <v>-387.16500000000002</v>
      </c>
    </row>
    <row r="28" spans="1:11" ht="15" customHeight="1" outlineLevel="2" x14ac:dyDescent="0.25">
      <c r="A28" s="14" t="s">
        <v>106</v>
      </c>
      <c r="B28" s="13">
        <v>3515.2820000000002</v>
      </c>
      <c r="C28" s="13">
        <v>871.51099999999997</v>
      </c>
      <c r="D28" s="13">
        <v>1704.72</v>
      </c>
      <c r="E28" s="13">
        <v>1977.2139999999999</v>
      </c>
      <c r="F28" s="13">
        <v>1634.5840000000001</v>
      </c>
      <c r="G28" s="13">
        <v>523.78800000000001</v>
      </c>
      <c r="H28" s="13">
        <v>1260.327</v>
      </c>
      <c r="I28" s="13">
        <v>844.73599999999999</v>
      </c>
      <c r="J28" s="13">
        <v>1854.731</v>
      </c>
      <c r="K28" s="13">
        <v>626.572</v>
      </c>
    </row>
    <row r="29" spans="1:11" ht="15" customHeight="1" outlineLevel="2" x14ac:dyDescent="0.25">
      <c r="A29" s="11" t="s">
        <v>105</v>
      </c>
      <c r="B29" s="10">
        <v>3707.5650000000001</v>
      </c>
      <c r="C29" s="10">
        <v>302.13499999999999</v>
      </c>
      <c r="D29" s="10">
        <v>350.62700000000001</v>
      </c>
      <c r="E29" s="10">
        <v>2622.1289999999999</v>
      </c>
      <c r="F29" s="10">
        <v>1317.8430000000001</v>
      </c>
      <c r="G29" s="10">
        <v>381.78899999999999</v>
      </c>
      <c r="H29" s="10">
        <v>751.74599999999998</v>
      </c>
      <c r="I29" s="10">
        <v>280.37</v>
      </c>
      <c r="J29" s="10">
        <v>1660.0319999999999</v>
      </c>
      <c r="K29" s="10">
        <v>239.40700000000001</v>
      </c>
    </row>
    <row r="30" spans="1:11" ht="15" customHeight="1" outlineLevel="1" x14ac:dyDescent="0.25">
      <c r="A30" s="23" t="s">
        <v>93</v>
      </c>
      <c r="B30" s="28">
        <v>-3.9239999999999999</v>
      </c>
      <c r="C30" s="28">
        <v>-40</v>
      </c>
      <c r="D30" s="28">
        <v>-30</v>
      </c>
      <c r="E30" s="28">
        <v>-1.615</v>
      </c>
      <c r="F30" s="28">
        <v>0</v>
      </c>
      <c r="G30" s="28">
        <v>-4</v>
      </c>
      <c r="H30" s="28">
        <v>0</v>
      </c>
      <c r="I30" s="28">
        <v>0</v>
      </c>
      <c r="J30" s="28">
        <v>0</v>
      </c>
      <c r="K30" s="28">
        <v>0</v>
      </c>
    </row>
    <row r="31" spans="1:11" ht="15" customHeight="1" outlineLevel="2" x14ac:dyDescent="0.25">
      <c r="A31" s="11" t="s">
        <v>92</v>
      </c>
      <c r="B31" s="29">
        <v>-3.9239999999999999</v>
      </c>
      <c r="C31" s="29">
        <v>-40</v>
      </c>
      <c r="D31" s="29">
        <v>-30</v>
      </c>
      <c r="E31" s="29">
        <v>-1.615</v>
      </c>
      <c r="F31" s="10">
        <v>0</v>
      </c>
      <c r="G31" s="29">
        <v>-4</v>
      </c>
      <c r="H31" s="10">
        <v>0</v>
      </c>
      <c r="I31" s="10">
        <v>0</v>
      </c>
      <c r="J31" s="10">
        <v>0</v>
      </c>
      <c r="K31" s="10">
        <v>0</v>
      </c>
    </row>
    <row r="32" spans="1:11" ht="15" customHeight="1" outlineLevel="1" x14ac:dyDescent="0.25">
      <c r="A32" s="26" t="s">
        <v>104</v>
      </c>
      <c r="B32" s="13">
        <v>181.56700000000001</v>
      </c>
      <c r="C32" s="12">
        <v>-617.01</v>
      </c>
      <c r="D32" s="12">
        <v>-1390.277</v>
      </c>
      <c r="E32" s="13">
        <v>640.19399999999996</v>
      </c>
      <c r="F32" s="12">
        <v>-320.726</v>
      </c>
      <c r="G32" s="12">
        <v>-148.87799999999999</v>
      </c>
      <c r="H32" s="12">
        <v>-511.245</v>
      </c>
      <c r="I32" s="12">
        <v>-569.226</v>
      </c>
      <c r="J32" s="12">
        <v>-196.26400000000001</v>
      </c>
      <c r="K32" s="12">
        <v>-391.09899999999999</v>
      </c>
    </row>
    <row r="33" spans="1:11" ht="15" customHeight="1" x14ac:dyDescent="0.25">
      <c r="A33" s="27" t="s">
        <v>103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spans="1:11" ht="15" customHeight="1" outlineLevel="1" x14ac:dyDescent="0.25">
      <c r="A34" s="23" t="s">
        <v>102</v>
      </c>
      <c r="B34" s="22">
        <v>6.4429999999999996</v>
      </c>
      <c r="C34" s="22">
        <v>10.021000000000001</v>
      </c>
      <c r="D34" s="22">
        <v>48.585999999999999</v>
      </c>
      <c r="E34" s="22">
        <v>456.59100000000001</v>
      </c>
      <c r="F34" s="22">
        <v>151.43799999999999</v>
      </c>
      <c r="G34" s="22">
        <v>-1.669</v>
      </c>
      <c r="H34" s="22">
        <v>74.84</v>
      </c>
      <c r="I34" s="22">
        <v>51.408999999999999</v>
      </c>
      <c r="J34" s="22">
        <v>50.555999999999997</v>
      </c>
      <c r="K34" s="22">
        <v>90.349000000000004</v>
      </c>
    </row>
    <row r="35" spans="1:11" ht="15" customHeight="1" outlineLevel="2" x14ac:dyDescent="0.25">
      <c r="A35" s="11" t="s">
        <v>101</v>
      </c>
      <c r="B35" s="39">
        <v>-19.195</v>
      </c>
      <c r="C35" s="39">
        <v>-18.596</v>
      </c>
      <c r="D35" s="39">
        <v>-17.998000000000001</v>
      </c>
      <c r="E35" s="39">
        <v>-18.597999999999999</v>
      </c>
      <c r="F35" s="39">
        <v>-18.899000000000001</v>
      </c>
      <c r="G35" s="39">
        <v>-17.699000000000002</v>
      </c>
      <c r="H35" s="39">
        <v>-9</v>
      </c>
      <c r="I35" s="19">
        <v>0</v>
      </c>
      <c r="J35" s="19">
        <v>0</v>
      </c>
      <c r="K35" s="19">
        <v>0</v>
      </c>
    </row>
    <row r="36" spans="1:11" ht="15" customHeight="1" outlineLevel="2" x14ac:dyDescent="0.25">
      <c r="A36" s="33" t="s">
        <v>100</v>
      </c>
      <c r="B36" s="22">
        <v>25.638000000000002</v>
      </c>
      <c r="C36" s="22">
        <v>28.617000000000001</v>
      </c>
      <c r="D36" s="22">
        <v>66.584000000000003</v>
      </c>
      <c r="E36" s="22">
        <v>475.18900000000002</v>
      </c>
      <c r="F36" s="22">
        <v>170.33699999999999</v>
      </c>
      <c r="G36" s="22">
        <v>16.03</v>
      </c>
      <c r="H36" s="22">
        <v>83.84</v>
      </c>
      <c r="I36" s="22">
        <v>51.408999999999999</v>
      </c>
      <c r="J36" s="22">
        <v>50.555999999999997</v>
      </c>
      <c r="K36" s="22">
        <v>90.349000000000004</v>
      </c>
    </row>
    <row r="37" spans="1:11" ht="15" customHeight="1" outlineLevel="3" x14ac:dyDescent="0.25">
      <c r="A37" s="32" t="s">
        <v>98</v>
      </c>
      <c r="B37" s="19">
        <v>25.638000000000002</v>
      </c>
      <c r="C37" s="19">
        <v>28.617000000000001</v>
      </c>
      <c r="D37" s="19">
        <v>66.584000000000003</v>
      </c>
      <c r="E37" s="19">
        <v>475.18900000000002</v>
      </c>
      <c r="F37" s="19">
        <v>170.33699999999999</v>
      </c>
      <c r="G37" s="19">
        <v>16.03</v>
      </c>
      <c r="H37" s="19">
        <v>83.84</v>
      </c>
      <c r="I37" s="19">
        <v>51.408999999999999</v>
      </c>
      <c r="J37" s="19">
        <v>50.555999999999997</v>
      </c>
      <c r="K37" s="19">
        <v>90.349000000000004</v>
      </c>
    </row>
    <row r="38" spans="1:11" ht="15" customHeight="1" outlineLevel="1" x14ac:dyDescent="0.25">
      <c r="A38" s="23" t="s">
        <v>93</v>
      </c>
      <c r="B38" s="22">
        <v>-8.0000000000000002E-3</v>
      </c>
      <c r="C38" s="22">
        <v>-3.5710000000000002</v>
      </c>
      <c r="D38" s="22">
        <v>-77.483000000000004</v>
      </c>
      <c r="E38" s="22">
        <v>-217.92699999999999</v>
      </c>
      <c r="F38" s="22">
        <v>-1.0999999999999999E-2</v>
      </c>
      <c r="G38" s="22">
        <v>-0.30599999999999999</v>
      </c>
      <c r="H38" s="22">
        <v>0.40799999999999997</v>
      </c>
      <c r="I38" s="22">
        <v>-0.17699999999999999</v>
      </c>
      <c r="J38" s="22">
        <v>0.38400000000000001</v>
      </c>
      <c r="K38" s="22">
        <v>0.33500000000000002</v>
      </c>
    </row>
    <row r="39" spans="1:11" ht="15" customHeight="1" outlineLevel="2" x14ac:dyDescent="0.25">
      <c r="A39" s="11" t="s">
        <v>92</v>
      </c>
      <c r="B39" s="19">
        <v>0</v>
      </c>
      <c r="C39" s="39">
        <v>-3.544</v>
      </c>
      <c r="D39" s="39">
        <v>-77.572999999999993</v>
      </c>
      <c r="E39" s="39">
        <v>-218.28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</row>
    <row r="40" spans="1:11" ht="15" customHeight="1" outlineLevel="2" x14ac:dyDescent="0.25">
      <c r="A40" s="14" t="s">
        <v>91</v>
      </c>
      <c r="B40" s="25">
        <v>-8.0000000000000002E-3</v>
      </c>
      <c r="C40" s="25">
        <v>-2.7E-2</v>
      </c>
      <c r="D40" s="21">
        <v>0.09</v>
      </c>
      <c r="E40" s="21">
        <v>0.35299999999999998</v>
      </c>
      <c r="F40" s="25">
        <v>-1.0999999999999999E-2</v>
      </c>
      <c r="G40" s="25">
        <v>-0.30599999999999999</v>
      </c>
      <c r="H40" s="21">
        <v>0.40799999999999997</v>
      </c>
      <c r="I40" s="25">
        <v>-0.17699999999999999</v>
      </c>
      <c r="J40" s="21">
        <v>0.38400000000000001</v>
      </c>
      <c r="K40" s="21">
        <v>0.33500000000000002</v>
      </c>
    </row>
    <row r="41" spans="1:11" ht="15" customHeight="1" outlineLevel="1" x14ac:dyDescent="0.25">
      <c r="A41" s="20" t="s">
        <v>90</v>
      </c>
      <c r="B41" s="19">
        <v>6.4349999999999996</v>
      </c>
      <c r="C41" s="19">
        <v>6.45</v>
      </c>
      <c r="D41" s="39">
        <v>-28.896999999999998</v>
      </c>
      <c r="E41" s="19">
        <v>238.66399999999999</v>
      </c>
      <c r="F41" s="19">
        <v>151.42699999999999</v>
      </c>
      <c r="G41" s="39">
        <v>-1.9750000000000001</v>
      </c>
      <c r="H41" s="19">
        <v>75.248000000000005</v>
      </c>
      <c r="I41" s="19">
        <v>51.231999999999999</v>
      </c>
      <c r="J41" s="19">
        <v>50.94</v>
      </c>
      <c r="K41" s="19">
        <v>90.683999999999997</v>
      </c>
    </row>
    <row r="42" spans="1:11" ht="15" customHeight="1" x14ac:dyDescent="0.25">
      <c r="A42" s="17" t="s">
        <v>89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 ht="15" customHeight="1" outlineLevel="1" x14ac:dyDescent="0.25">
      <c r="A43" s="20" t="s">
        <v>88</v>
      </c>
      <c r="B43" s="29">
        <v>-2.0739999999999998</v>
      </c>
      <c r="C43" s="10">
        <v>7.5380000000000003</v>
      </c>
      <c r="D43" s="10">
        <v>3.98</v>
      </c>
      <c r="E43" s="29">
        <v>-7.7050000000000001</v>
      </c>
      <c r="F43" s="10">
        <v>5.9080000000000004</v>
      </c>
      <c r="G43" s="29">
        <v>-0.92400000000000004</v>
      </c>
      <c r="H43" s="29">
        <v>-4.024</v>
      </c>
      <c r="I43" s="10">
        <v>5.0430000000000001</v>
      </c>
      <c r="J43" s="29">
        <v>-0.25800000000000001</v>
      </c>
      <c r="K43" s="29">
        <v>-4.5309999999999997</v>
      </c>
    </row>
    <row r="44" spans="1:11" ht="15" customHeight="1" outlineLevel="1" x14ac:dyDescent="0.25">
      <c r="A44" s="26" t="s">
        <v>87</v>
      </c>
      <c r="B44" s="13">
        <v>693.59199999999998</v>
      </c>
      <c r="C44" s="12">
        <v>-63.771000000000001</v>
      </c>
      <c r="D44" s="12">
        <v>-1104.931</v>
      </c>
      <c r="E44" s="13">
        <v>1331.48</v>
      </c>
      <c r="F44" s="13">
        <v>256.38099999999997</v>
      </c>
      <c r="G44" s="12">
        <v>-7.59</v>
      </c>
      <c r="H44" s="12">
        <v>-310.44200000000001</v>
      </c>
      <c r="I44" s="12">
        <v>-211.779</v>
      </c>
      <c r="J44" s="12">
        <v>-12.138999999999999</v>
      </c>
      <c r="K44" s="12">
        <v>-214.75399999999999</v>
      </c>
    </row>
    <row r="45" spans="1:11" ht="15" customHeight="1" outlineLevel="1" x14ac:dyDescent="0.25">
      <c r="A45" s="16" t="s">
        <v>86</v>
      </c>
      <c r="B45" s="15">
        <v>500.87200000000001</v>
      </c>
      <c r="C45" s="15">
        <v>531.61699999999996</v>
      </c>
      <c r="D45" s="15">
        <v>304.07900000000001</v>
      </c>
      <c r="E45" s="15">
        <v>457.221</v>
      </c>
      <c r="F45" s="15">
        <v>415.78699999999998</v>
      </c>
      <c r="G45" s="15">
        <v>141.30799999999999</v>
      </c>
      <c r="H45" s="15">
        <v>126.91500000000001</v>
      </c>
      <c r="I45" s="15">
        <v>296.31200000000001</v>
      </c>
      <c r="J45" s="15">
        <v>131.87799999999999</v>
      </c>
      <c r="K45" s="15">
        <v>86.257999999999996</v>
      </c>
    </row>
    <row r="46" spans="1:11" ht="15" customHeight="1" outlineLevel="2" x14ac:dyDescent="0.25">
      <c r="A46" s="14" t="s">
        <v>85</v>
      </c>
      <c r="B46" s="13">
        <v>0.19481200000000001</v>
      </c>
      <c r="C46" s="13">
        <v>0.207427</v>
      </c>
      <c r="D46" s="13">
        <v>0.119115</v>
      </c>
      <c r="E46" s="13">
        <v>0.180843</v>
      </c>
      <c r="F46" s="13">
        <v>0.169047</v>
      </c>
      <c r="G46" s="13">
        <v>5.8520000000000003E-2</v>
      </c>
      <c r="H46" s="13">
        <v>5.2879000000000002E-2</v>
      </c>
      <c r="I46" s="13">
        <v>0.12567600000000001</v>
      </c>
      <c r="J46" s="13">
        <v>5.6707E-2</v>
      </c>
      <c r="K46" s="13">
        <v>3.7863000000000001E-2</v>
      </c>
    </row>
    <row r="47" spans="1:11" ht="15" customHeight="1" outlineLevel="2" x14ac:dyDescent="0.25">
      <c r="A47" s="11" t="s">
        <v>84</v>
      </c>
      <c r="B47" s="19">
        <v>0.382461</v>
      </c>
      <c r="C47" s="19">
        <v>0.48907299999999998</v>
      </c>
      <c r="D47" s="19">
        <v>0.611904</v>
      </c>
      <c r="E47" s="19">
        <v>0.596835</v>
      </c>
      <c r="F47" s="19">
        <v>1.071429</v>
      </c>
      <c r="G47" s="19">
        <v>1.138595</v>
      </c>
      <c r="H47" s="19">
        <v>1.1613329999999999</v>
      </c>
      <c r="I47" s="19">
        <v>1.721905</v>
      </c>
      <c r="J47" s="19">
        <v>1.2754829999999999</v>
      </c>
      <c r="K47" s="19">
        <v>1.07477</v>
      </c>
    </row>
    <row r="48" spans="1:11" ht="15" customHeight="1" x14ac:dyDescent="0.25">
      <c r="A48" s="9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Cover</vt:lpstr>
      <vt:lpstr>DCF</vt:lpstr>
      <vt:lpstr>WACC</vt:lpstr>
      <vt:lpstr>Shares</vt:lpstr>
      <vt:lpstr>IS - Annual</vt:lpstr>
      <vt:lpstr>CFS - Annual</vt:lpstr>
      <vt:lpstr>IS - Estimates</vt:lpstr>
      <vt:lpstr>CFS - Estimates</vt:lpstr>
      <vt:lpstr>IS - Quarterly</vt:lpstr>
      <vt:lpstr>CFS - Quarterly</vt:lpstr>
      <vt:lpstr>dr</vt:lpstr>
      <vt:lpstr>tg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Kim</dc:creator>
  <cp:lastModifiedBy>Jeffrey Kim</cp:lastModifiedBy>
  <cp:lastPrinted>2026-02-05T03:29:42Z</cp:lastPrinted>
  <dcterms:created xsi:type="dcterms:W3CDTF">2026-01-15T05:41:23Z</dcterms:created>
  <dcterms:modified xsi:type="dcterms:W3CDTF">2026-07-18T02:55:32Z</dcterms:modified>
</cp:coreProperties>
</file>